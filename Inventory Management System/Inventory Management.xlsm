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kul\Desktop\Excel-Projects\Inventory Management System\"/>
    </mc:Choice>
  </mc:AlternateContent>
  <xr:revisionPtr revIDLastSave="0" documentId="13_ncr:1_{AE14B326-595E-4C0C-AD6F-E3AAC17995A9}" xr6:coauthVersionLast="47" xr6:coauthVersionMax="47" xr10:uidLastSave="{00000000-0000-0000-0000-000000000000}"/>
  <bookViews>
    <workbookView xWindow="-108" yWindow="-108" windowWidth="16608" windowHeight="8832" xr2:uid="{C4544A37-6F76-4178-987F-8D17CF66ED10}"/>
  </bookViews>
  <sheets>
    <sheet name="Dashboard" sheetId="1" r:id="rId1"/>
    <sheet name="Customers" sheetId="2" r:id="rId2"/>
    <sheet name="Products" sheetId="3" r:id="rId3"/>
    <sheet name="Vendors" sheetId="4" r:id="rId4"/>
    <sheet name="New Entry" sheetId="5" r:id="rId5"/>
    <sheet name="Purchase" sheetId="6" r:id="rId6"/>
    <sheet name="Sales" sheetId="7" r:id="rId7"/>
    <sheet name="Inventory" sheetId="8" r:id="rId8"/>
    <sheet name="Sheet1" sheetId="10" r:id="rId9"/>
    <sheet name="Pivots" sheetId="9" r:id="rId10"/>
  </sheets>
  <definedNames>
    <definedName name="Cus_ID">CustomersData[Cus_ID]</definedName>
    <definedName name="nshcode">ProductsData[HSN Code]</definedName>
  </definedNames>
  <calcPr calcId="191029"/>
  <pivotCaches>
    <pivotCache cacheId="146" r:id="rId11"/>
    <pivotCache cacheId="148" r:id="rId12"/>
    <pivotCache cacheId="150" r:id="rId13"/>
    <pivotCache cacheId="157" r:id="rId14"/>
    <pivotCache cacheId="15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 a="1"/>
  <c r="K10" i="1" s="1"/>
  <c r="K7" i="8"/>
  <c r="K8" i="8"/>
  <c r="K9" i="8"/>
  <c r="K10" i="8"/>
  <c r="K11" i="8"/>
  <c r="K12" i="8"/>
  <c r="K13" i="8"/>
  <c r="K14" i="8"/>
  <c r="K15" i="8"/>
  <c r="K16" i="8"/>
  <c r="E17" i="7"/>
  <c r="E18" i="7"/>
  <c r="E19" i="7"/>
  <c r="G17" i="7"/>
  <c r="G18" i="7"/>
  <c r="G19" i="7"/>
  <c r="H17" i="7"/>
  <c r="H18" i="7"/>
  <c r="H19" i="7"/>
  <c r="K17" i="7"/>
  <c r="L17" i="7" s="1"/>
  <c r="K18" i="7"/>
  <c r="K19" i="7"/>
  <c r="L19" i="7" s="1"/>
  <c r="L18" i="7"/>
  <c r="E19" i="6"/>
  <c r="E20" i="6"/>
  <c r="E21" i="6"/>
  <c r="E22" i="6"/>
  <c r="E23" i="6"/>
  <c r="E24" i="6"/>
  <c r="F19" i="6"/>
  <c r="F20" i="6"/>
  <c r="F21" i="6"/>
  <c r="F22" i="6"/>
  <c r="F23" i="6"/>
  <c r="F24" i="6"/>
  <c r="G19" i="6"/>
  <c r="G20" i="6"/>
  <c r="G21" i="6"/>
  <c r="G22" i="6"/>
  <c r="G23" i="6"/>
  <c r="G24" i="6"/>
  <c r="I19" i="6"/>
  <c r="I20" i="6"/>
  <c r="J20" i="6" s="1"/>
  <c r="I21" i="6"/>
  <c r="J21" i="6" s="1"/>
  <c r="I22" i="6"/>
  <c r="I23" i="6"/>
  <c r="I24" i="6"/>
  <c r="J24" i="6" s="1"/>
  <c r="J19" i="6"/>
  <c r="J22" i="6"/>
  <c r="J23" i="6"/>
  <c r="E15" i="6"/>
  <c r="E16" i="6"/>
  <c r="E17" i="6"/>
  <c r="E18" i="6"/>
  <c r="F15" i="6"/>
  <c r="F16" i="6"/>
  <c r="F17" i="6"/>
  <c r="F18" i="6"/>
  <c r="G15" i="6"/>
  <c r="G16" i="6"/>
  <c r="G17" i="6"/>
  <c r="G18" i="6"/>
  <c r="I15" i="6"/>
  <c r="I16" i="6"/>
  <c r="I17" i="6"/>
  <c r="J17" i="6" s="1"/>
  <c r="I18" i="6"/>
  <c r="J18" i="6" s="1"/>
  <c r="J15" i="6"/>
  <c r="J16" i="6"/>
  <c r="D8" i="8"/>
  <c r="E8" i="8"/>
  <c r="F8" i="8"/>
  <c r="D9" i="8"/>
  <c r="E9" i="8"/>
  <c r="F9" i="8"/>
  <c r="D10" i="8"/>
  <c r="E10" i="8"/>
  <c r="F10" i="8"/>
  <c r="D11" i="8"/>
  <c r="E11" i="8"/>
  <c r="F11" i="8"/>
  <c r="D12" i="8"/>
  <c r="E12" i="8"/>
  <c r="F12" i="8"/>
  <c r="D13" i="8"/>
  <c r="E13" i="8"/>
  <c r="F13" i="8"/>
  <c r="D14" i="8"/>
  <c r="E14" i="8"/>
  <c r="F14" i="8"/>
  <c r="D15" i="8"/>
  <c r="E15" i="8"/>
  <c r="F15" i="8"/>
  <c r="D16" i="8"/>
  <c r="E16" i="8"/>
  <c r="F16" i="8"/>
  <c r="E7" i="8"/>
  <c r="F7" i="8"/>
  <c r="D7" i="8"/>
  <c r="I18" i="7" s="1"/>
  <c r="E8" i="7"/>
  <c r="E9" i="7"/>
  <c r="E10" i="7"/>
  <c r="E11" i="7"/>
  <c r="E12" i="7"/>
  <c r="E13" i="7"/>
  <c r="E14" i="7"/>
  <c r="E15" i="7"/>
  <c r="E16" i="7"/>
  <c r="G8" i="7"/>
  <c r="G9" i="7"/>
  <c r="G10" i="7"/>
  <c r="G11" i="7"/>
  <c r="G12" i="7"/>
  <c r="G13" i="7"/>
  <c r="G14" i="7"/>
  <c r="G15" i="7"/>
  <c r="G16" i="7"/>
  <c r="H16" i="8" s="1"/>
  <c r="H8" i="7"/>
  <c r="H9" i="7"/>
  <c r="H10" i="7"/>
  <c r="H11" i="7"/>
  <c r="H12" i="7"/>
  <c r="H13" i="7"/>
  <c r="H14" i="7"/>
  <c r="H15" i="7"/>
  <c r="H16" i="7"/>
  <c r="K8" i="7"/>
  <c r="L8" i="7" s="1"/>
  <c r="K9" i="7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L9" i="7"/>
  <c r="K7" i="7"/>
  <c r="H7" i="7"/>
  <c r="G7" i="7"/>
  <c r="E7" i="7"/>
  <c r="E14" i="6"/>
  <c r="F14" i="6"/>
  <c r="G14" i="6"/>
  <c r="I14" i="6"/>
  <c r="J14" i="6" s="1"/>
  <c r="G8" i="6"/>
  <c r="G9" i="6"/>
  <c r="G10" i="6"/>
  <c r="G11" i="6"/>
  <c r="G12" i="6"/>
  <c r="G13" i="6"/>
  <c r="G7" i="6"/>
  <c r="F7" i="6"/>
  <c r="F8" i="6"/>
  <c r="F9" i="6"/>
  <c r="F10" i="6"/>
  <c r="F11" i="6"/>
  <c r="F12" i="6"/>
  <c r="F13" i="6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E7" i="6"/>
  <c r="E8" i="6"/>
  <c r="E9" i="6"/>
  <c r="E10" i="6"/>
  <c r="E11" i="6"/>
  <c r="E12" i="6"/>
  <c r="E13" i="6"/>
  <c r="D21" i="9"/>
  <c r="D18" i="9"/>
  <c r="D14" i="9"/>
  <c r="D7" i="9"/>
  <c r="D3" i="9"/>
  <c r="I19" i="7" l="1"/>
  <c r="H7" i="8"/>
  <c r="H15" i="8"/>
  <c r="H14" i="8"/>
  <c r="H13" i="8"/>
  <c r="D24" i="9"/>
  <c r="H12" i="8"/>
  <c r="H11" i="8"/>
  <c r="G7" i="8"/>
  <c r="I7" i="8" s="1"/>
  <c r="H10" i="8"/>
  <c r="H9" i="8"/>
  <c r="H8" i="8"/>
  <c r="G14" i="8"/>
  <c r="G10" i="8"/>
  <c r="G13" i="8"/>
  <c r="G9" i="8"/>
  <c r="G16" i="8"/>
  <c r="I16" i="8" s="1"/>
  <c r="I13" i="7" s="1"/>
  <c r="G12" i="8"/>
  <c r="G8" i="8"/>
  <c r="G15" i="8"/>
  <c r="G11" i="8"/>
  <c r="I15" i="8" l="1"/>
  <c r="J15" i="8" s="1"/>
  <c r="I14" i="8"/>
  <c r="I8" i="7"/>
  <c r="I16" i="7"/>
  <c r="I13" i="8"/>
  <c r="I15" i="7" s="1"/>
  <c r="J16" i="8"/>
  <c r="I12" i="8"/>
  <c r="I12" i="7" s="1"/>
  <c r="I11" i="8"/>
  <c r="J11" i="8" s="1"/>
  <c r="I9" i="8"/>
  <c r="I10" i="8"/>
  <c r="I11" i="7" s="1"/>
  <c r="J7" i="8"/>
  <c r="I8" i="8"/>
  <c r="J8" i="8" s="1"/>
  <c r="I9" i="7" l="1"/>
  <c r="I17" i="7"/>
  <c r="J14" i="8"/>
  <c r="I14" i="7"/>
  <c r="J9" i="8"/>
  <c r="I7" i="7"/>
  <c r="I10" i="7"/>
  <c r="J13" i="8"/>
  <c r="J12" i="8"/>
  <c r="J10" i="8"/>
  <c r="L7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<sst xmlns="http://schemas.openxmlformats.org/spreadsheetml/2006/main" count="212" uniqueCount="100">
  <si>
    <t>Cus_ID</t>
  </si>
  <si>
    <t>Name</t>
  </si>
  <si>
    <t xml:space="preserve">Email </t>
  </si>
  <si>
    <t>Address</t>
  </si>
  <si>
    <t>Anil Patel</t>
  </si>
  <si>
    <t>anilpatel786@gmail.com</t>
  </si>
  <si>
    <t>Veerbhan Patel</t>
  </si>
  <si>
    <t>Rahul Patel</t>
  </si>
  <si>
    <t>Rakesh Patel</t>
  </si>
  <si>
    <t>Nilu Patel</t>
  </si>
  <si>
    <t>Vipin Patel</t>
  </si>
  <si>
    <t>Pushpendra Patel</t>
  </si>
  <si>
    <t>Satendra Patel</t>
  </si>
  <si>
    <t xml:space="preserve">Mahendra Patel </t>
  </si>
  <si>
    <t>Rameshwar Patel</t>
  </si>
  <si>
    <t>Vijay Patel</t>
  </si>
  <si>
    <t>Arunendra Patel</t>
  </si>
  <si>
    <t>veerbanpatel@gmail.com</t>
  </si>
  <si>
    <t>rahulanpatel@gmail.com</t>
  </si>
  <si>
    <t>rakesanpatel@gmail.com</t>
  </si>
  <si>
    <t>vipinanpatel@gmail.com</t>
  </si>
  <si>
    <t>pushpanpatel@gmail.com</t>
  </si>
  <si>
    <t>satenanpatel@gmail.com</t>
  </si>
  <si>
    <t>mahenanpatel@gmail.com</t>
  </si>
  <si>
    <t>ramesanpatel@gmail.com</t>
  </si>
  <si>
    <t>vijayanpatel@gmail.com</t>
  </si>
  <si>
    <t>aruneanpatel@gmail.com</t>
  </si>
  <si>
    <t xml:space="preserve">Satna Madhya Pradesh </t>
  </si>
  <si>
    <t>Satna Madhya Pradesh</t>
  </si>
  <si>
    <t>nilupatel@gmail.com</t>
  </si>
  <si>
    <t>HSN Code</t>
  </si>
  <si>
    <t>Product Name</t>
  </si>
  <si>
    <t xml:space="preserve">Cost </t>
  </si>
  <si>
    <t>Selling Price</t>
  </si>
  <si>
    <t>N1001</t>
  </si>
  <si>
    <t>N1002</t>
  </si>
  <si>
    <t>N1003</t>
  </si>
  <si>
    <t>N1004</t>
  </si>
  <si>
    <t>N1005</t>
  </si>
  <si>
    <t>N1006</t>
  </si>
  <si>
    <t>N1007</t>
  </si>
  <si>
    <t>N1008</t>
  </si>
  <si>
    <t>N1009</t>
  </si>
  <si>
    <t>N1010</t>
  </si>
  <si>
    <t>Smart Watch</t>
  </si>
  <si>
    <t>Laptop HP xyz</t>
  </si>
  <si>
    <t>Wireless Printer</t>
  </si>
  <si>
    <t>Desktop</t>
  </si>
  <si>
    <t>Mouse</t>
  </si>
  <si>
    <t>Rgb Keyboard</t>
  </si>
  <si>
    <t>Camera</t>
  </si>
  <si>
    <t>Headphones</t>
  </si>
  <si>
    <t>Speakers</t>
  </si>
  <si>
    <t>Tablets</t>
  </si>
  <si>
    <t xml:space="preserve">Product Name </t>
  </si>
  <si>
    <t>Vendor Name</t>
  </si>
  <si>
    <t>Phone</t>
  </si>
  <si>
    <t>Patel Traders</t>
  </si>
  <si>
    <t>Veer Tech</t>
  </si>
  <si>
    <t>GG Traders</t>
  </si>
  <si>
    <t>8461XXXXXX</t>
  </si>
  <si>
    <t>8694XXXXXX</t>
  </si>
  <si>
    <t>8784XXXXXX</t>
  </si>
  <si>
    <t>Amarpatan, Satna, 485775</t>
  </si>
  <si>
    <t>Amarpatan, Satna, 485776</t>
  </si>
  <si>
    <t>Amarpatan, Satna, 485777</t>
  </si>
  <si>
    <t>Rampur, Satna, 485115</t>
  </si>
  <si>
    <t>Rampur, Satna, 485116</t>
  </si>
  <si>
    <t>Rampur, Satna, 485117</t>
  </si>
  <si>
    <t>Bus Stand, Satna, 480001</t>
  </si>
  <si>
    <t>Purchase Entry</t>
  </si>
  <si>
    <t>Sales Entry</t>
  </si>
  <si>
    <t>Vendor</t>
  </si>
  <si>
    <t>Date</t>
  </si>
  <si>
    <t>Units</t>
  </si>
  <si>
    <t>Cost</t>
  </si>
  <si>
    <t>Amount</t>
  </si>
  <si>
    <t>Customer Name</t>
  </si>
  <si>
    <t>Price</t>
  </si>
  <si>
    <t>Stock(Unit)</t>
  </si>
  <si>
    <t>Unit</t>
  </si>
  <si>
    <t xml:space="preserve">P Units </t>
  </si>
  <si>
    <t>S Units</t>
  </si>
  <si>
    <t>Stock</t>
  </si>
  <si>
    <t>Stock Amount</t>
  </si>
  <si>
    <t>Count of Cus_ID</t>
  </si>
  <si>
    <t xml:space="preserve">Customers </t>
  </si>
  <si>
    <t>Count of HSN Code</t>
  </si>
  <si>
    <t xml:space="preserve">Product </t>
  </si>
  <si>
    <t>Sum of Amount</t>
  </si>
  <si>
    <t>Sales Amount</t>
  </si>
  <si>
    <t>Purchase Amount</t>
  </si>
  <si>
    <t>Sum of Stock Amount</t>
  </si>
  <si>
    <t>Profit / Loss</t>
  </si>
  <si>
    <t>Row Labels</t>
  </si>
  <si>
    <t>Grand Total</t>
  </si>
  <si>
    <t>Sum of S Units</t>
  </si>
  <si>
    <t>Notification !</t>
  </si>
  <si>
    <t>Notification</t>
  </si>
  <si>
    <t>Sum of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</si>
</sst>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₹&quot;\ #,##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1" applyFill="1"/>
    <xf numFmtId="49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ont="1" applyFill="1" applyBorder="1"/>
    <xf numFmtId="0" fontId="0" fillId="2" borderId="1" xfId="0" applyFont="1" applyFill="1" applyBorder="1"/>
    <xf numFmtId="14" fontId="0" fillId="2" borderId="0" xfId="0" applyNumberFormat="1" applyFill="1"/>
    <xf numFmtId="0" fontId="0" fillId="2" borderId="0" xfId="0" applyNumberFormat="1" applyFill="1"/>
    <xf numFmtId="0" fontId="0" fillId="0" borderId="0" xfId="0" applyNumberFormat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4" borderId="0" xfId="0" applyFont="1" applyFill="1"/>
    <xf numFmtId="0" fontId="4" fillId="4" borderId="0" xfId="0" applyFont="1" applyFill="1"/>
    <xf numFmtId="0" fontId="0" fillId="5" borderId="0" xfId="0" applyFill="1"/>
  </cellXfs>
  <cellStyles count="2">
    <cellStyle name="Hyperlink" xfId="1" builtinId="8"/>
    <cellStyle name="Normal" xfId="0" builtinId="0"/>
  </cellStyles>
  <dxfs count="48"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numFmt numFmtId="19" formatCode="dd/mm/yyyy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numFmt numFmtId="19" formatCode="dd/mm/yyyy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1"/>
        </top>
        <bottom style="thin">
          <color theme="1"/>
        </bottom>
      </border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3366"/>
      <color rgb="FFF82626"/>
      <color rgb="FFF8F8F8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Management.xlsm]Pivots!PivotTable11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5 Products 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66"/>
            </a:solidFill>
            <a:ln>
              <a:noFill/>
            </a:ln>
            <a:effectLst/>
          </c:spPr>
          <c:invertIfNegative val="0"/>
          <c:cat>
            <c:strRef>
              <c:f>Pivots!$F$18:$F$23</c:f>
              <c:strCache>
                <c:ptCount val="5"/>
                <c:pt idx="0">
                  <c:v>Headphones</c:v>
                </c:pt>
                <c:pt idx="1">
                  <c:v>Camera</c:v>
                </c:pt>
                <c:pt idx="2">
                  <c:v>Rgb Keyboard</c:v>
                </c:pt>
                <c:pt idx="3">
                  <c:v>Smart Watch</c:v>
                </c:pt>
                <c:pt idx="4">
                  <c:v>Wireless Printer</c:v>
                </c:pt>
              </c:strCache>
            </c:strRef>
          </c:cat>
          <c:val>
            <c:numRef>
              <c:f>Pivots!$G$18:$G$23</c:f>
              <c:numCache>
                <c:formatCode>General</c:formatCode>
                <c:ptCount val="5"/>
                <c:pt idx="0">
                  <c:v>12</c:v>
                </c:pt>
                <c:pt idx="1">
                  <c:v>10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2-418B-AE78-ECAC3BB82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1"/>
        <c:axId val="340398512"/>
        <c:axId val="340393936"/>
      </c:barChart>
      <c:catAx>
        <c:axId val="340398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3936"/>
        <c:crosses val="autoZero"/>
        <c:auto val="1"/>
        <c:lblAlgn val="ctr"/>
        <c:lblOffset val="100"/>
        <c:noMultiLvlLbl val="0"/>
      </c:catAx>
      <c:valAx>
        <c:axId val="3403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39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Management.xlsm]Pivots!PivotTable13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5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33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8933622696456227"/>
          <c:y val="0.25201005025125633"/>
          <c:w val="0.44869369244038843"/>
          <c:h val="0.5536996003640247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Pivots!$G$26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3366"/>
            </a:solidFill>
            <a:ln>
              <a:noFill/>
            </a:ln>
            <a:effectLst/>
          </c:spPr>
          <c:invertIfNegative val="0"/>
          <c:cat>
            <c:strRef>
              <c:f>Pivots!$F$27:$F$32</c:f>
              <c:strCache>
                <c:ptCount val="5"/>
                <c:pt idx="0">
                  <c:v>Pushpendra Patel</c:v>
                </c:pt>
                <c:pt idx="1">
                  <c:v>Rahul Patel</c:v>
                </c:pt>
                <c:pt idx="2">
                  <c:v>Satendra Patel</c:v>
                </c:pt>
                <c:pt idx="3">
                  <c:v>Anil Patel</c:v>
                </c:pt>
                <c:pt idx="4">
                  <c:v>Veerbhan Patel</c:v>
                </c:pt>
              </c:strCache>
            </c:strRef>
          </c:cat>
          <c:val>
            <c:numRef>
              <c:f>Pivots!$G$27:$G$32</c:f>
              <c:numCache>
                <c:formatCode>General</c:formatCode>
                <c:ptCount val="5"/>
                <c:pt idx="0">
                  <c:v>501240</c:v>
                </c:pt>
                <c:pt idx="1">
                  <c:v>236400</c:v>
                </c:pt>
                <c:pt idx="2">
                  <c:v>134232</c:v>
                </c:pt>
                <c:pt idx="3">
                  <c:v>55200</c:v>
                </c:pt>
                <c:pt idx="4">
                  <c:v>21168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9-4F85-970F-087FE7470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561084688"/>
        <c:axId val="561083856"/>
      </c:barChart>
      <c:catAx>
        <c:axId val="561084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83856"/>
        <c:crosses val="autoZero"/>
        <c:auto val="1"/>
        <c:lblAlgn val="ctr"/>
        <c:lblOffset val="100"/>
        <c:noMultiLvlLbl val="0"/>
      </c:catAx>
      <c:valAx>
        <c:axId val="561083856"/>
        <c:scaling>
          <c:orientation val="minMax"/>
        </c:scaling>
        <c:delete val="0"/>
        <c:axPos val="b"/>
        <c:numFmt formatCode="&quot;₹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8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Management.xlsm]Pivots!PivotTable14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Stock</a:t>
            </a:r>
            <a:r>
              <a:rPr lang="en-IN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Pivots!$B$27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Pivots!$A$28:$A$38</c:f>
              <c:strCache>
                <c:ptCount val="10"/>
                <c:pt idx="0">
                  <c:v>Camera</c:v>
                </c:pt>
                <c:pt idx="1">
                  <c:v>Desktop</c:v>
                </c:pt>
                <c:pt idx="2">
                  <c:v>Headphones</c:v>
                </c:pt>
                <c:pt idx="3">
                  <c:v>Laptop HP xyz</c:v>
                </c:pt>
                <c:pt idx="4">
                  <c:v>Mouse</c:v>
                </c:pt>
                <c:pt idx="5">
                  <c:v>Rgb Keyboard</c:v>
                </c:pt>
                <c:pt idx="6">
                  <c:v>Smart Watch</c:v>
                </c:pt>
                <c:pt idx="7">
                  <c:v>Speakers</c:v>
                </c:pt>
                <c:pt idx="8">
                  <c:v>Tablets</c:v>
                </c:pt>
                <c:pt idx="9">
                  <c:v>Wireless Printer</c:v>
                </c:pt>
              </c:strCache>
            </c:strRef>
          </c:cat>
          <c:val>
            <c:numRef>
              <c:f>Pivots!$B$28:$B$38</c:f>
              <c:numCache>
                <c:formatCode>General</c:formatCode>
                <c:ptCount val="10"/>
                <c:pt idx="0">
                  <c:v>20</c:v>
                </c:pt>
                <c:pt idx="1">
                  <c:v>0</c:v>
                </c:pt>
                <c:pt idx="2">
                  <c:v>17</c:v>
                </c:pt>
                <c:pt idx="3">
                  <c:v>11</c:v>
                </c:pt>
                <c:pt idx="4">
                  <c:v>8</c:v>
                </c:pt>
                <c:pt idx="5">
                  <c:v>0</c:v>
                </c:pt>
                <c:pt idx="6">
                  <c:v>25</c:v>
                </c:pt>
                <c:pt idx="7">
                  <c:v>0</c:v>
                </c:pt>
                <c:pt idx="8">
                  <c:v>12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E-472A-92AC-7B83DF97D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1842144"/>
        <c:axId val="331842560"/>
        <c:axId val="0"/>
      </c:bar3DChart>
      <c:catAx>
        <c:axId val="33184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42560"/>
        <c:crosses val="autoZero"/>
        <c:auto val="1"/>
        <c:lblAlgn val="ctr"/>
        <c:lblOffset val="100"/>
        <c:noMultiLvlLbl val="0"/>
      </c:catAx>
      <c:valAx>
        <c:axId val="3318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4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21" Type="http://schemas.openxmlformats.org/officeDocument/2006/relationships/chart" Target="../charts/chart1.xm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23" Type="http://schemas.openxmlformats.org/officeDocument/2006/relationships/chart" Target="../charts/chart3.xml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Relationship Id="rId2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New Entry'!A1"/><Relationship Id="rId13" Type="http://schemas.microsoft.com/office/2007/relationships/hdphoto" Target="../media/hdphoto1.wdp"/><Relationship Id="rId18" Type="http://schemas.openxmlformats.org/officeDocument/2006/relationships/image" Target="../media/image7.png"/><Relationship Id="rId3" Type="http://schemas.openxmlformats.org/officeDocument/2006/relationships/hyperlink" Target="https://creativecommons.org/licenses/by-nc-sa/3.0/" TargetMode="External"/><Relationship Id="rId7" Type="http://schemas.openxmlformats.org/officeDocument/2006/relationships/hyperlink" Target="#Vendors!A1"/><Relationship Id="rId12" Type="http://schemas.openxmlformats.org/officeDocument/2006/relationships/image" Target="../media/image2.png"/><Relationship Id="rId17" Type="http://schemas.openxmlformats.org/officeDocument/2006/relationships/image" Target="../media/image6.png"/><Relationship Id="rId2" Type="http://schemas.openxmlformats.org/officeDocument/2006/relationships/hyperlink" Target="https://www.eoi.es/blogs/madeon/2013/03/13/gestion-de-inventarios-el-gran-desafio-de-siempre/" TargetMode="External"/><Relationship Id="rId16" Type="http://schemas.openxmlformats.org/officeDocument/2006/relationships/image" Target="../media/image5.png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hyperlink" Target="#Products!A1"/><Relationship Id="rId11" Type="http://schemas.openxmlformats.org/officeDocument/2006/relationships/hyperlink" Target="#Inventory!A1"/><Relationship Id="rId5" Type="http://schemas.openxmlformats.org/officeDocument/2006/relationships/hyperlink" Target="#Customers!A1"/><Relationship Id="rId15" Type="http://schemas.openxmlformats.org/officeDocument/2006/relationships/image" Target="../media/image4.png"/><Relationship Id="rId10" Type="http://schemas.openxmlformats.org/officeDocument/2006/relationships/hyperlink" Target="#Sales!A1"/><Relationship Id="rId19" Type="http://schemas.openxmlformats.org/officeDocument/2006/relationships/image" Target="../media/image8.png"/><Relationship Id="rId4" Type="http://schemas.openxmlformats.org/officeDocument/2006/relationships/hyperlink" Target="#Dashboard!A1"/><Relationship Id="rId9" Type="http://schemas.openxmlformats.org/officeDocument/2006/relationships/hyperlink" Target="#Purchase!A1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1</xdr:row>
      <xdr:rowOff>6073</xdr:rowOff>
    </xdr:from>
    <xdr:to>
      <xdr:col>1</xdr:col>
      <xdr:colOff>1196341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8849B8-A2B6-4279-8557-484EC4C0D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1" y="188953"/>
          <a:ext cx="1173480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B00790B-59DF-4998-8B55-6844C7B2591E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4EBC93C-6B6A-413B-B489-12D9B6099060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5EB4854-3FA7-4EDC-8761-B6A23FC2F1B0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Dashboard</a:t>
          </a:r>
        </a:p>
        <a:p>
          <a:pPr algn="l"/>
          <a:endParaRPr lang="en-IN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4F2CEF-F513-4B2A-9F31-DF4E52E8DDAF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46397A-B9DD-45AE-9076-1A77A55ED6EF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9" name="Rectangl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FD41DFF-3A15-43AA-A75E-8B6F826C887A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10" name="Rectangl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81EABC6-52EF-403C-A3F9-CCA5DB6A4C78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1" name="Rectangl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6C6797-79F1-46B8-9BF8-16EBB9EA65EF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2" name="Rectangle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3821CE8-83A8-4771-B390-33A0AF1C5C8D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3" name="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D884A12-F31D-4659-B29E-551CB591B865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8</xdr:row>
      <xdr:rowOff>187620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5A43A3-7D72-4393-A54A-B242109F1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88158D-BED0-41CB-BC15-4A8825F92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496395A-5A5E-45EB-980B-3BF9C848B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BC5F5E0-E24B-4E1A-8EE4-6907E3045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B4EA8A5-9B98-4C0A-A7F2-F42B8602D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289513C-AC0D-4ED7-B00E-CCF9F1396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3483CBC-86D7-4534-BCC1-71212F57C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C4BF8CE-154E-4820-A2B3-F83642D24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213360</xdr:colOff>
      <xdr:row>1</xdr:row>
      <xdr:rowOff>7620</xdr:rowOff>
    </xdr:from>
    <xdr:to>
      <xdr:col>15</xdr:col>
      <xdr:colOff>106680</xdr:colOff>
      <xdr:row>3</xdr:row>
      <xdr:rowOff>160020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B112243-2DDF-4AF0-8AE5-889C9F14E53D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Inventory</a:t>
          </a:r>
          <a:r>
            <a:rPr lang="en-IN" sz="3200" b="1" baseline="0">
              <a:solidFill>
                <a:schemeClr val="tx1"/>
              </a:solidFill>
            </a:rPr>
            <a:t> Management System</a:t>
          </a:r>
          <a:endParaRPr lang="en-IN" sz="32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7620</xdr:colOff>
      <xdr:row>4</xdr:row>
      <xdr:rowOff>60960</xdr:rowOff>
    </xdr:from>
    <xdr:to>
      <xdr:col>4</xdr:col>
      <xdr:colOff>586020</xdr:colOff>
      <xdr:row>6</xdr:row>
      <xdr:rowOff>163200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44A78DE-C2DD-4E48-BBC3-7C97142D60AA}"/>
            </a:ext>
          </a:extLst>
        </xdr:cNvPr>
        <xdr:cNvSpPr/>
      </xdr:nvSpPr>
      <xdr:spPr>
        <a:xfrm>
          <a:off x="1973580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Customers  </a:t>
          </a:r>
        </a:p>
      </xdr:txBody>
    </xdr:sp>
    <xdr:clientData/>
  </xdr:twoCellAnchor>
  <xdr:twoCellAnchor>
    <xdr:from>
      <xdr:col>7</xdr:col>
      <xdr:colOff>59944</xdr:colOff>
      <xdr:row>4</xdr:row>
      <xdr:rowOff>60960</xdr:rowOff>
    </xdr:from>
    <xdr:to>
      <xdr:col>9</xdr:col>
      <xdr:colOff>28744</xdr:colOff>
      <xdr:row>6</xdr:row>
      <xdr:rowOff>163200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77416822-69D3-457C-A972-4BD7E6311D47}"/>
            </a:ext>
          </a:extLst>
        </xdr:cNvPr>
        <xdr:cNvSpPr/>
      </xdr:nvSpPr>
      <xdr:spPr>
        <a:xfrm>
          <a:off x="4464304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en-IN" sz="1100"/>
            <a:t>Purchase Amt.	</a:t>
          </a:r>
        </a:p>
      </xdr:txBody>
    </xdr:sp>
    <xdr:clientData/>
  </xdr:twoCellAnchor>
  <xdr:twoCellAnchor>
    <xdr:from>
      <xdr:col>9</xdr:col>
      <xdr:colOff>86106</xdr:colOff>
      <xdr:row>4</xdr:row>
      <xdr:rowOff>60960</xdr:rowOff>
    </xdr:from>
    <xdr:to>
      <xdr:col>11</xdr:col>
      <xdr:colOff>54906</xdr:colOff>
      <xdr:row>6</xdr:row>
      <xdr:rowOff>163200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62F4F9E1-441A-4605-BF71-A04064FEEC1B}"/>
            </a:ext>
          </a:extLst>
        </xdr:cNvPr>
        <xdr:cNvSpPr/>
      </xdr:nvSpPr>
      <xdr:spPr>
        <a:xfrm>
          <a:off x="5709666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en-IN" sz="1100"/>
            <a:t>Sale Amt.	</a:t>
          </a:r>
        </a:p>
      </xdr:txBody>
    </xdr:sp>
    <xdr:clientData/>
  </xdr:twoCellAnchor>
  <xdr:twoCellAnchor>
    <xdr:from>
      <xdr:col>13</xdr:col>
      <xdr:colOff>138430</xdr:colOff>
      <xdr:row>4</xdr:row>
      <xdr:rowOff>60960</xdr:rowOff>
    </xdr:from>
    <xdr:to>
      <xdr:col>15</xdr:col>
      <xdr:colOff>107230</xdr:colOff>
      <xdr:row>6</xdr:row>
      <xdr:rowOff>163200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CA82DD4-EC18-4473-B18B-781E4F50ACCD}"/>
            </a:ext>
          </a:extLst>
        </xdr:cNvPr>
        <xdr:cNvSpPr/>
      </xdr:nvSpPr>
      <xdr:spPr>
        <a:xfrm>
          <a:off x="8200390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Profit/Loss</a:t>
          </a:r>
        </a:p>
      </xdr:txBody>
    </xdr:sp>
    <xdr:clientData/>
  </xdr:twoCellAnchor>
  <xdr:twoCellAnchor>
    <xdr:from>
      <xdr:col>11</xdr:col>
      <xdr:colOff>112268</xdr:colOff>
      <xdr:row>4</xdr:row>
      <xdr:rowOff>60960</xdr:rowOff>
    </xdr:from>
    <xdr:to>
      <xdr:col>13</xdr:col>
      <xdr:colOff>81068</xdr:colOff>
      <xdr:row>6</xdr:row>
      <xdr:rowOff>163200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097EC8D-EC5B-4517-881B-842C53CE55FA}"/>
            </a:ext>
          </a:extLst>
        </xdr:cNvPr>
        <xdr:cNvSpPr/>
      </xdr:nvSpPr>
      <xdr:spPr>
        <a:xfrm>
          <a:off x="6955028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Stock Amt.</a:t>
          </a:r>
        </a:p>
      </xdr:txBody>
    </xdr:sp>
    <xdr:clientData/>
  </xdr:twoCellAnchor>
  <xdr:twoCellAnchor>
    <xdr:from>
      <xdr:col>5</xdr:col>
      <xdr:colOff>33782</xdr:colOff>
      <xdr:row>4</xdr:row>
      <xdr:rowOff>60960</xdr:rowOff>
    </xdr:from>
    <xdr:to>
      <xdr:col>7</xdr:col>
      <xdr:colOff>2582</xdr:colOff>
      <xdr:row>6</xdr:row>
      <xdr:rowOff>163200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3F227D3-65E0-4278-B01B-75FE15109DE9}"/>
            </a:ext>
          </a:extLst>
        </xdr:cNvPr>
        <xdr:cNvSpPr/>
      </xdr:nvSpPr>
      <xdr:spPr>
        <a:xfrm>
          <a:off x="3218942" y="792480"/>
          <a:ext cx="1188000" cy="46800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Products</a:t>
          </a:r>
        </a:p>
      </xdr:txBody>
    </xdr:sp>
    <xdr:clientData/>
  </xdr:twoCellAnchor>
  <xdr:twoCellAnchor>
    <xdr:from>
      <xdr:col>3</xdr:col>
      <xdr:colOff>7620</xdr:colOff>
      <xdr:row>4</xdr:row>
      <xdr:rowOff>60960</xdr:rowOff>
    </xdr:from>
    <xdr:to>
      <xdr:col>3</xdr:col>
      <xdr:colOff>115620</xdr:colOff>
      <xdr:row>6</xdr:row>
      <xdr:rowOff>163200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298403D-CD8C-4D83-9954-7F8D7C48CBCB}"/>
            </a:ext>
          </a:extLst>
        </xdr:cNvPr>
        <xdr:cNvSpPr/>
      </xdr:nvSpPr>
      <xdr:spPr>
        <a:xfrm>
          <a:off x="1973580" y="792480"/>
          <a:ext cx="108000" cy="468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30480</xdr:colOff>
      <xdr:row>4</xdr:row>
      <xdr:rowOff>60960</xdr:rowOff>
    </xdr:from>
    <xdr:to>
      <xdr:col>5</xdr:col>
      <xdr:colOff>138480</xdr:colOff>
      <xdr:row>6</xdr:row>
      <xdr:rowOff>163200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76F1ABB-3C5C-483A-AE5C-5A7A3240396D}"/>
            </a:ext>
          </a:extLst>
        </xdr:cNvPr>
        <xdr:cNvSpPr/>
      </xdr:nvSpPr>
      <xdr:spPr>
        <a:xfrm>
          <a:off x="3215640" y="792480"/>
          <a:ext cx="108000" cy="468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60960</xdr:colOff>
      <xdr:row>4</xdr:row>
      <xdr:rowOff>60960</xdr:rowOff>
    </xdr:from>
    <xdr:to>
      <xdr:col>7</xdr:col>
      <xdr:colOff>168960</xdr:colOff>
      <xdr:row>6</xdr:row>
      <xdr:rowOff>163200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228D5A0-5595-4C4B-975A-470D1F5B2FB8}"/>
            </a:ext>
          </a:extLst>
        </xdr:cNvPr>
        <xdr:cNvSpPr/>
      </xdr:nvSpPr>
      <xdr:spPr>
        <a:xfrm>
          <a:off x="4465320" y="792480"/>
          <a:ext cx="108000" cy="4680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83820</xdr:colOff>
      <xdr:row>4</xdr:row>
      <xdr:rowOff>60960</xdr:rowOff>
    </xdr:from>
    <xdr:to>
      <xdr:col>9</xdr:col>
      <xdr:colOff>191820</xdr:colOff>
      <xdr:row>6</xdr:row>
      <xdr:rowOff>163200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919BA1A1-EEEF-4E02-BA4F-09E99D94B4CC}"/>
            </a:ext>
          </a:extLst>
        </xdr:cNvPr>
        <xdr:cNvSpPr/>
      </xdr:nvSpPr>
      <xdr:spPr>
        <a:xfrm>
          <a:off x="5707380" y="792480"/>
          <a:ext cx="108000" cy="46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114300</xdr:colOff>
      <xdr:row>4</xdr:row>
      <xdr:rowOff>60960</xdr:rowOff>
    </xdr:from>
    <xdr:to>
      <xdr:col>11</xdr:col>
      <xdr:colOff>222300</xdr:colOff>
      <xdr:row>6</xdr:row>
      <xdr:rowOff>163200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C0C21568-7AE6-4C74-9F8D-66AFA2C2585A}"/>
            </a:ext>
          </a:extLst>
        </xdr:cNvPr>
        <xdr:cNvSpPr/>
      </xdr:nvSpPr>
      <xdr:spPr>
        <a:xfrm>
          <a:off x="6957060" y="792480"/>
          <a:ext cx="108000" cy="468000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137160</xdr:colOff>
      <xdr:row>4</xdr:row>
      <xdr:rowOff>60960</xdr:rowOff>
    </xdr:from>
    <xdr:to>
      <xdr:col>13</xdr:col>
      <xdr:colOff>245160</xdr:colOff>
      <xdr:row>6</xdr:row>
      <xdr:rowOff>163200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4009BE60-EA38-4E7D-A5D9-22E051968A81}"/>
            </a:ext>
          </a:extLst>
        </xdr:cNvPr>
        <xdr:cNvSpPr/>
      </xdr:nvSpPr>
      <xdr:spPr>
        <a:xfrm>
          <a:off x="8199120" y="792480"/>
          <a:ext cx="108000" cy="4680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7620</xdr:colOff>
      <xdr:row>4</xdr:row>
      <xdr:rowOff>60960</xdr:rowOff>
    </xdr:from>
    <xdr:to>
      <xdr:col>15</xdr:col>
      <xdr:colOff>115620</xdr:colOff>
      <xdr:row>6</xdr:row>
      <xdr:rowOff>163200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902BF6B-99CC-499C-888F-20C8FCD2CD51}"/>
            </a:ext>
          </a:extLst>
        </xdr:cNvPr>
        <xdr:cNvSpPr/>
      </xdr:nvSpPr>
      <xdr:spPr>
        <a:xfrm>
          <a:off x="9288780" y="792480"/>
          <a:ext cx="108000" cy="468000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586740</xdr:colOff>
      <xdr:row>4</xdr:row>
      <xdr:rowOff>60960</xdr:rowOff>
    </xdr:from>
    <xdr:to>
      <xdr:col>13</xdr:col>
      <xdr:colOff>85140</xdr:colOff>
      <xdr:row>6</xdr:row>
      <xdr:rowOff>163200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AC21EFD-917B-429A-819C-9262D7783C8C}"/>
            </a:ext>
          </a:extLst>
        </xdr:cNvPr>
        <xdr:cNvSpPr/>
      </xdr:nvSpPr>
      <xdr:spPr>
        <a:xfrm>
          <a:off x="8039100" y="792480"/>
          <a:ext cx="108000" cy="468000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556260</xdr:colOff>
      <xdr:row>4</xdr:row>
      <xdr:rowOff>60960</xdr:rowOff>
    </xdr:from>
    <xdr:to>
      <xdr:col>11</xdr:col>
      <xdr:colOff>54660</xdr:colOff>
      <xdr:row>6</xdr:row>
      <xdr:rowOff>163200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C7E1B9D3-DA0E-4189-B1F9-3CDCD6970F85}"/>
            </a:ext>
          </a:extLst>
        </xdr:cNvPr>
        <xdr:cNvSpPr/>
      </xdr:nvSpPr>
      <xdr:spPr>
        <a:xfrm>
          <a:off x="6789420" y="792480"/>
          <a:ext cx="108000" cy="46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533400</xdr:colOff>
      <xdr:row>4</xdr:row>
      <xdr:rowOff>60960</xdr:rowOff>
    </xdr:from>
    <xdr:to>
      <xdr:col>9</xdr:col>
      <xdr:colOff>31800</xdr:colOff>
      <xdr:row>6</xdr:row>
      <xdr:rowOff>163200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5F94ABA-5517-429E-B167-8241BB1C913E}"/>
            </a:ext>
          </a:extLst>
        </xdr:cNvPr>
        <xdr:cNvSpPr/>
      </xdr:nvSpPr>
      <xdr:spPr>
        <a:xfrm>
          <a:off x="5547360" y="792480"/>
          <a:ext cx="108000" cy="4680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502920</xdr:colOff>
      <xdr:row>4</xdr:row>
      <xdr:rowOff>60960</xdr:rowOff>
    </xdr:from>
    <xdr:to>
      <xdr:col>7</xdr:col>
      <xdr:colOff>1320</xdr:colOff>
      <xdr:row>6</xdr:row>
      <xdr:rowOff>163200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E2AC5373-1A50-41AF-8415-C595B1F976E7}"/>
            </a:ext>
          </a:extLst>
        </xdr:cNvPr>
        <xdr:cNvSpPr/>
      </xdr:nvSpPr>
      <xdr:spPr>
        <a:xfrm>
          <a:off x="4297680" y="792480"/>
          <a:ext cx="108000" cy="468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480060</xdr:colOff>
      <xdr:row>4</xdr:row>
      <xdr:rowOff>60960</xdr:rowOff>
    </xdr:from>
    <xdr:to>
      <xdr:col>4</xdr:col>
      <xdr:colOff>588060</xdr:colOff>
      <xdr:row>6</xdr:row>
      <xdr:rowOff>163200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575BAF8A-8743-43CB-9F5E-E361949F4FC1}"/>
            </a:ext>
          </a:extLst>
        </xdr:cNvPr>
        <xdr:cNvSpPr/>
      </xdr:nvSpPr>
      <xdr:spPr>
        <a:xfrm>
          <a:off x="3055620" y="792480"/>
          <a:ext cx="108000" cy="468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426720</xdr:colOff>
      <xdr:row>5</xdr:row>
      <xdr:rowOff>83820</xdr:rowOff>
    </xdr:from>
    <xdr:to>
      <xdr:col>4</xdr:col>
      <xdr:colOff>373380</xdr:colOff>
      <xdr:row>6</xdr:row>
      <xdr:rowOff>150060</xdr:rowOff>
    </xdr:to>
    <xdr:sp macro="" textlink="Pivots!D3">
      <xdr:nvSpPr>
        <xdr:cNvPr id="44" name="Rectangle 43">
          <a:extLst>
            <a:ext uri="{FF2B5EF4-FFF2-40B4-BE49-F238E27FC236}">
              <a16:creationId xmlns:a16="http://schemas.microsoft.com/office/drawing/2014/main" id="{8332D25A-43F9-4A91-B940-D7491FB0BA9B}"/>
            </a:ext>
          </a:extLst>
        </xdr:cNvPr>
        <xdr:cNvSpPr/>
      </xdr:nvSpPr>
      <xdr:spPr>
        <a:xfrm>
          <a:off x="2392680" y="998220"/>
          <a:ext cx="556260" cy="24912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9F9D8340-4C37-4FC4-A345-F1EE44FD626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12</a:t>
          </a:fld>
          <a:endParaRPr lang="en-IN" sz="1100"/>
        </a:p>
      </xdr:txBody>
    </xdr:sp>
    <xdr:clientData/>
  </xdr:twoCellAnchor>
  <xdr:twoCellAnchor>
    <xdr:from>
      <xdr:col>5</xdr:col>
      <xdr:colOff>426720</xdr:colOff>
      <xdr:row>5</xdr:row>
      <xdr:rowOff>83820</xdr:rowOff>
    </xdr:from>
    <xdr:to>
      <xdr:col>6</xdr:col>
      <xdr:colOff>373380</xdr:colOff>
      <xdr:row>6</xdr:row>
      <xdr:rowOff>150060</xdr:rowOff>
    </xdr:to>
    <xdr:sp macro="" textlink="Pivots!D7">
      <xdr:nvSpPr>
        <xdr:cNvPr id="45" name="Rectangle 44">
          <a:extLst>
            <a:ext uri="{FF2B5EF4-FFF2-40B4-BE49-F238E27FC236}">
              <a16:creationId xmlns:a16="http://schemas.microsoft.com/office/drawing/2014/main" id="{8B2E8A33-F89A-4D59-92DF-9A85E5083804}"/>
            </a:ext>
          </a:extLst>
        </xdr:cNvPr>
        <xdr:cNvSpPr/>
      </xdr:nvSpPr>
      <xdr:spPr>
        <a:xfrm>
          <a:off x="3611880" y="998220"/>
          <a:ext cx="556260" cy="24912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33A6F8B8-0D77-4CEB-AEEB-465FB9A7789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10</a:t>
          </a:fld>
          <a:endParaRPr lang="en-IN" sz="1100"/>
        </a:p>
      </xdr:txBody>
    </xdr:sp>
    <xdr:clientData/>
  </xdr:twoCellAnchor>
  <xdr:twoCellAnchor>
    <xdr:from>
      <xdr:col>7</xdr:col>
      <xdr:colOff>175260</xdr:colOff>
      <xdr:row>5</xdr:row>
      <xdr:rowOff>83820</xdr:rowOff>
    </xdr:from>
    <xdr:to>
      <xdr:col>8</xdr:col>
      <xdr:colOff>548640</xdr:colOff>
      <xdr:row>6</xdr:row>
      <xdr:rowOff>150060</xdr:rowOff>
    </xdr:to>
    <xdr:sp macro="" textlink="Pivots!D14">
      <xdr:nvSpPr>
        <xdr:cNvPr id="46" name="Rectangle 45">
          <a:extLst>
            <a:ext uri="{FF2B5EF4-FFF2-40B4-BE49-F238E27FC236}">
              <a16:creationId xmlns:a16="http://schemas.microsoft.com/office/drawing/2014/main" id="{2477AF6D-CC5B-4387-BEC1-5969FDB54A00}"/>
            </a:ext>
          </a:extLst>
        </xdr:cNvPr>
        <xdr:cNvSpPr/>
      </xdr:nvSpPr>
      <xdr:spPr>
        <a:xfrm>
          <a:off x="4579620" y="998220"/>
          <a:ext cx="982980" cy="24912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D9FE12EA-68D8-4177-A404-AF0BD64C279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₹ 22,59,817</a:t>
          </a:fld>
          <a:endParaRPr lang="en-IN" sz="1100"/>
        </a:p>
      </xdr:txBody>
    </xdr:sp>
    <xdr:clientData/>
  </xdr:twoCellAnchor>
  <xdr:twoCellAnchor>
    <xdr:from>
      <xdr:col>9</xdr:col>
      <xdr:colOff>198120</xdr:colOff>
      <xdr:row>5</xdr:row>
      <xdr:rowOff>83820</xdr:rowOff>
    </xdr:from>
    <xdr:to>
      <xdr:col>10</xdr:col>
      <xdr:colOff>441960</xdr:colOff>
      <xdr:row>6</xdr:row>
      <xdr:rowOff>150060</xdr:rowOff>
    </xdr:to>
    <xdr:sp macro="" textlink="Pivots!D21">
      <xdr:nvSpPr>
        <xdr:cNvPr id="47" name="Rectangle 46">
          <a:extLst>
            <a:ext uri="{FF2B5EF4-FFF2-40B4-BE49-F238E27FC236}">
              <a16:creationId xmlns:a16="http://schemas.microsoft.com/office/drawing/2014/main" id="{45CD5B39-39F3-47E6-9513-E14630B51AFF}"/>
            </a:ext>
          </a:extLst>
        </xdr:cNvPr>
        <xdr:cNvSpPr/>
      </xdr:nvSpPr>
      <xdr:spPr>
        <a:xfrm>
          <a:off x="5821680" y="998220"/>
          <a:ext cx="853440" cy="24912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BD8DCB7-4C6B-4446-A31D-D0D518B6124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₹ 9,50,592</a:t>
          </a:fld>
          <a:endParaRPr lang="en-IN" sz="1100"/>
        </a:p>
      </xdr:txBody>
    </xdr:sp>
    <xdr:clientData/>
  </xdr:twoCellAnchor>
  <xdr:twoCellAnchor>
    <xdr:from>
      <xdr:col>11</xdr:col>
      <xdr:colOff>266700</xdr:colOff>
      <xdr:row>5</xdr:row>
      <xdr:rowOff>57150</xdr:rowOff>
    </xdr:from>
    <xdr:to>
      <xdr:col>12</xdr:col>
      <xdr:colOff>571500</xdr:colOff>
      <xdr:row>6</xdr:row>
      <xdr:rowOff>176730</xdr:rowOff>
    </xdr:to>
    <xdr:sp macro="" textlink="Pivots!D18">
      <xdr:nvSpPr>
        <xdr:cNvPr id="48" name="Rectangle 47">
          <a:extLst>
            <a:ext uri="{FF2B5EF4-FFF2-40B4-BE49-F238E27FC236}">
              <a16:creationId xmlns:a16="http://schemas.microsoft.com/office/drawing/2014/main" id="{A687B600-982B-4995-A8AC-50B69B5B4A9C}"/>
            </a:ext>
          </a:extLst>
        </xdr:cNvPr>
        <xdr:cNvSpPr/>
      </xdr:nvSpPr>
      <xdr:spPr>
        <a:xfrm>
          <a:off x="7109460" y="971550"/>
          <a:ext cx="914400" cy="30246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DF0D6EDE-3B31-49E8-B405-121C87C0658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₹ 17,23,733</a:t>
          </a:fld>
          <a:endParaRPr lang="en-IN" sz="1100"/>
        </a:p>
      </xdr:txBody>
    </xdr:sp>
    <xdr:clientData/>
  </xdr:twoCellAnchor>
  <xdr:twoCellAnchor>
    <xdr:from>
      <xdr:col>13</xdr:col>
      <xdr:colOff>312420</xdr:colOff>
      <xdr:row>5</xdr:row>
      <xdr:rowOff>83820</xdr:rowOff>
    </xdr:from>
    <xdr:to>
      <xdr:col>14</xdr:col>
      <xdr:colOff>601980</xdr:colOff>
      <xdr:row>6</xdr:row>
      <xdr:rowOff>150060</xdr:rowOff>
    </xdr:to>
    <xdr:sp macro="" textlink="Pivots!D24">
      <xdr:nvSpPr>
        <xdr:cNvPr id="49" name="Rectangle 48">
          <a:extLst>
            <a:ext uri="{FF2B5EF4-FFF2-40B4-BE49-F238E27FC236}">
              <a16:creationId xmlns:a16="http://schemas.microsoft.com/office/drawing/2014/main" id="{B7275045-9396-4E8E-A6F4-AF2A91425BF1}"/>
            </a:ext>
          </a:extLst>
        </xdr:cNvPr>
        <xdr:cNvSpPr/>
      </xdr:nvSpPr>
      <xdr:spPr>
        <a:xfrm>
          <a:off x="8374380" y="998220"/>
          <a:ext cx="899160" cy="24912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2A58D5FE-4346-462A-8A7C-997CF1C4B22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₹ 4,14,508</a:t>
          </a:fld>
          <a:endParaRPr lang="en-IN" sz="1100"/>
        </a:p>
      </xdr:txBody>
    </xdr:sp>
    <xdr:clientData/>
  </xdr:twoCellAnchor>
  <xdr:twoCellAnchor>
    <xdr:from>
      <xdr:col>6</xdr:col>
      <xdr:colOff>342900</xdr:colOff>
      <xdr:row>8</xdr:row>
      <xdr:rowOff>15240</xdr:rowOff>
    </xdr:from>
    <xdr:to>
      <xdr:col>9</xdr:col>
      <xdr:colOff>510540</xdr:colOff>
      <xdr:row>16</xdr:row>
      <xdr:rowOff>60960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EB1C749D-0AB6-4300-A633-F9D68B2E2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167640</xdr:colOff>
      <xdr:row>8</xdr:row>
      <xdr:rowOff>7620</xdr:rowOff>
    </xdr:from>
    <xdr:to>
      <xdr:col>6</xdr:col>
      <xdr:colOff>289560</xdr:colOff>
      <xdr:row>16</xdr:row>
      <xdr:rowOff>45720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BC5A2DA4-7F77-4299-B9A1-A98FF3F64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152400</xdr:colOff>
      <xdr:row>16</xdr:row>
      <xdr:rowOff>99060</xdr:rowOff>
    </xdr:from>
    <xdr:to>
      <xdr:col>9</xdr:col>
      <xdr:colOff>495300</xdr:colOff>
      <xdr:row>24</xdr:row>
      <xdr:rowOff>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6B9269D0-D69D-40F7-90DE-94818B9D5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477CCC-891B-4012-8271-83D3BBCFD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46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CBBC242-91F5-4767-9E04-E18A02C9F377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5</xdr:row>
      <xdr:rowOff>137160</xdr:rowOff>
    </xdr:from>
    <xdr:to>
      <xdr:col>1</xdr:col>
      <xdr:colOff>1485900</xdr:colOff>
      <xdr:row>8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B206210-40DF-426D-BE2A-6B7F2740C827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8</xdr:row>
      <xdr:rowOff>137160</xdr:rowOff>
    </xdr:from>
    <xdr:to>
      <xdr:col>2</xdr:col>
      <xdr:colOff>68580</xdr:colOff>
      <xdr:row>10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48AD693-5BD1-4D25-9226-DCB6EDD9B40F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22860</xdr:rowOff>
    </xdr:from>
    <xdr:to>
      <xdr:col>2</xdr:col>
      <xdr:colOff>68580</xdr:colOff>
      <xdr:row>11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37C88E-452B-4EBA-A338-D0E6F49A6F1A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Customers</a:t>
          </a:r>
        </a:p>
        <a:p>
          <a:pPr algn="l"/>
          <a:endParaRPr lang="en-IN" sz="1100" b="1">
            <a:solidFill>
              <a:schemeClr val="tx1"/>
            </a:solidFill>
          </a:endParaRP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91440</xdr:rowOff>
    </xdr:from>
    <xdr:to>
      <xdr:col>2</xdr:col>
      <xdr:colOff>68580</xdr:colOff>
      <xdr:row>13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91BFEA9-7B8F-4141-B03E-EEE8885DBBAC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12</xdr:row>
      <xdr:rowOff>160020</xdr:rowOff>
    </xdr:from>
    <xdr:to>
      <xdr:col>2</xdr:col>
      <xdr:colOff>68580</xdr:colOff>
      <xdr:row>14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5C1B378-C99A-471A-842B-00FF4F25FC88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45720</xdr:rowOff>
    </xdr:from>
    <xdr:to>
      <xdr:col>2</xdr:col>
      <xdr:colOff>68580</xdr:colOff>
      <xdr:row>15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BE57E18-74A2-41F8-A0F7-94DD82AC0558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15</xdr:row>
      <xdr:rowOff>114300</xdr:rowOff>
    </xdr:from>
    <xdr:to>
      <xdr:col>2</xdr:col>
      <xdr:colOff>68580</xdr:colOff>
      <xdr:row>17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D6FEA1F-69D9-4111-8499-185737197E4D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0</xdr:rowOff>
    </xdr:from>
    <xdr:to>
      <xdr:col>2</xdr:col>
      <xdr:colOff>68580</xdr:colOff>
      <xdr:row>18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E0F2C6-4AFC-4307-A267-5F94D69AC0AE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18</xdr:row>
      <xdr:rowOff>68580</xdr:rowOff>
    </xdr:from>
    <xdr:to>
      <xdr:col>2</xdr:col>
      <xdr:colOff>68580</xdr:colOff>
      <xdr:row>19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592E832-C8DE-4E4F-8F0B-5EBF750E927F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9</xdr:row>
      <xdr:rowOff>7620</xdr:rowOff>
    </xdr:from>
    <xdr:to>
      <xdr:col>1</xdr:col>
      <xdr:colOff>385740</xdr:colOff>
      <xdr:row>10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37C6BE5-8EF4-4527-A153-2EF42B46D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75111</xdr:rowOff>
    </xdr:from>
    <xdr:to>
      <xdr:col>1</xdr:col>
      <xdr:colOff>385740</xdr:colOff>
      <xdr:row>11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C440AD7-6362-4109-945F-3D9E24802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11</xdr:row>
      <xdr:rowOff>142602</xdr:rowOff>
    </xdr:from>
    <xdr:to>
      <xdr:col>1</xdr:col>
      <xdr:colOff>385740</xdr:colOff>
      <xdr:row>12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B3B0AB0-1260-4F6E-83BE-2FD497430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27213</xdr:rowOff>
    </xdr:from>
    <xdr:to>
      <xdr:col>1</xdr:col>
      <xdr:colOff>385740</xdr:colOff>
      <xdr:row>14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88805DD-DC60-4FBA-9287-67EFAC09F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94704</xdr:rowOff>
    </xdr:from>
    <xdr:to>
      <xdr:col>1</xdr:col>
      <xdr:colOff>385740</xdr:colOff>
      <xdr:row>15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C7F8049-2664-415B-8EF9-400812B8D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15</xdr:row>
      <xdr:rowOff>162195</xdr:rowOff>
    </xdr:from>
    <xdr:to>
      <xdr:col>1</xdr:col>
      <xdr:colOff>385740</xdr:colOff>
      <xdr:row>16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F62606F-2921-4DD4-AFF6-329CBFA6F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46806</xdr:rowOff>
    </xdr:from>
    <xdr:to>
      <xdr:col>1</xdr:col>
      <xdr:colOff>385740</xdr:colOff>
      <xdr:row>18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BDE922D-4FAE-4494-95EC-5D93E5E1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18</xdr:row>
      <xdr:rowOff>114300</xdr:rowOff>
    </xdr:from>
    <xdr:to>
      <xdr:col>1</xdr:col>
      <xdr:colOff>385740</xdr:colOff>
      <xdr:row>19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531B4F0-0927-4D4C-851E-4F4A5D1A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0</xdr:colOff>
      <xdr:row>1</xdr:row>
      <xdr:rowOff>7620</xdr:rowOff>
    </xdr:from>
    <xdr:to>
      <xdr:col>14</xdr:col>
      <xdr:colOff>106680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F6DAAC5-9EC7-486A-BA0A-523EA7906DDF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Customers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71F5C6-639C-4EAD-A311-52368A25D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C7EF6D9-AAFD-4BEF-A0B3-6AAB549F098E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A74DDDF-C472-46ED-8AEA-68840DD6BB34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DF7242-2643-4EDB-A515-D10734F58850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C47385-050B-4DB1-A99E-B9B7BF20CE94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1">
            <a:solidFill>
              <a:schemeClr val="tx1"/>
            </a:solidFill>
          </a:endParaRP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FF41D63-3E94-46F8-A1B2-54CFAA0E4637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Products</a:t>
          </a: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2D8E37B-3401-4B34-80A7-B5708F011389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34DD7EE-A286-4466-A3CE-5679944909BC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4631C17-89B6-419F-964A-30DFF26D20FA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628D39A-7D44-4F2F-8323-578A30941D19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E552A3-4F26-4654-887B-BA0DD72616FF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5D63505-1E29-431B-9CDC-504071D9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C8D8C22-D618-4D69-8E64-B4CC65411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35019FD-AC8A-4653-84A3-FF97E1321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41DA86B-24A8-423E-8E95-1F1B52C93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5C81B6B-1113-44BB-885A-1C8A584E1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0CB8DD3-02EE-417C-B39D-1CCFEC654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069CA64-275F-40E1-A8F9-69BCDF23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4641705-E8B8-4799-B3F2-D6728BD08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7620</xdr:colOff>
      <xdr:row>1</xdr:row>
      <xdr:rowOff>7620</xdr:rowOff>
    </xdr:from>
    <xdr:to>
      <xdr:col>14</xdr:col>
      <xdr:colOff>396240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CD8A6B9-C658-406E-9B3C-8CFD71AB3550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Products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7898AF-0113-46BC-ACE1-E09B1B1ED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9D7A1AC-3439-4604-8DA0-FE04B7542219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D4B1E87-68BF-4BA7-B26B-E61E63C64135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340312-B2F4-46C4-9F92-6756505B0418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DA2D061-3B26-4DBE-91AD-1CDBDAB851DC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6AB5932-3262-433F-A95A-2CB90B91BC87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E577461-EF9F-400B-AF3C-4153FEC35E95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ysClr val="windowText" lastClr="000000"/>
              </a:solidFill>
            </a:rPr>
            <a:t>Vendors</a:t>
          </a:r>
        </a:p>
        <a:p>
          <a:pPr algn="l"/>
          <a:endParaRPr lang="en-IN" sz="1100" b="1">
            <a:solidFill>
              <a:sysClr val="windowText" lastClr="000000"/>
            </a:solidFill>
          </a:endParaRPr>
        </a:p>
        <a:p>
          <a:pPr algn="l"/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C7F7CC-96C7-45CB-9D93-981858E0ABE8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A3FE48C-4E56-4CC7-BA97-52A4B0F1710F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9D8A4A3-5509-4686-AC56-1A5779753EDF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2156E24-73CC-4DCA-BCAC-C4B194AE52FA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F98FA2D-1461-4F6F-B532-EFB2281B0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3E319FF-F393-49D1-8C8A-BFF88FFBF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EA17042-5242-4833-8459-88CF07C9A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C21C69E-BA89-43CC-ADD7-94C62B633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25B570-1CC2-4507-9A32-72618F46A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F9EBCD3-1C4E-46B3-AC56-2EE68F7E2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34E5B64-CAE3-4D12-862A-B0E939C6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B9E79FE-4FF6-4399-AFDB-08D144FFA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7620</xdr:colOff>
      <xdr:row>1</xdr:row>
      <xdr:rowOff>7620</xdr:rowOff>
    </xdr:from>
    <xdr:to>
      <xdr:col>12</xdr:col>
      <xdr:colOff>251460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DC950B9C-5D4B-4C41-99E9-D2430B2F9059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Vendors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2D278F-3CEE-4B88-A672-B60B22D1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DEA40EA-0E86-4CE8-83C9-0C9E12C6188C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24211A0-73D5-49CB-9C34-F4516227843A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1E5B9B-B37A-4A2B-8D3F-D221871321A6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3E2E03-0886-4BC9-B76F-A1A8EB7E86B7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F25CE4A-88AC-4816-B001-CEC432ACA593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840A4B6-3342-4954-9758-A0603AE9EEAB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7AF581B-DEB7-40D4-B714-9BBE3D5B9411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New Entry</a:t>
          </a: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0A36DAD-F7D6-4664-8C85-AA6E02C0E54B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08DF6F2-8953-45A9-95FF-4CD1964CB5AF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1ECB71-D811-4308-A209-073686D2FFC0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04E2098-5D5F-4CEF-8BA0-AA0D12CD8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D2CFAA8-FDEE-43A5-87D2-C7A3F1669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C4D4FE9-D14E-4921-A23D-2AF0EA26A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C266068-1AD8-43CE-B8E3-C8EB474DB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CAE1ECD-8098-4F0D-9223-E37A49528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293BB71-72A4-4626-AB37-3A453D4D8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B16D839-CF3A-44ED-8DE7-0A3E4D56F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C722EBC-5F1C-443F-9D31-AED1631A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7620</xdr:colOff>
      <xdr:row>1</xdr:row>
      <xdr:rowOff>7620</xdr:rowOff>
    </xdr:from>
    <xdr:to>
      <xdr:col>15</xdr:col>
      <xdr:colOff>220980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16DA7FD6-73A0-46EC-A77B-1859244EF8C3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New Entry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3FF913A-504C-4EC1-B1BC-E7125FCD5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302D0E6-6246-4533-81AF-580564544570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E5A2F28-43C1-4C95-BE56-AA8E3EEA3D74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B828D3-C48C-4319-8446-B8B76844A0B5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9E656E-6A44-450F-8E2F-379ABA35A3CF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F2FA59E-6CF3-4211-9430-F35AFC34E959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5C45E5-B4B4-4832-BBA6-D25DAF87E61B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C2791B-76A6-4C5D-8D95-1DA7082CCD71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7B9CEDD-147D-440C-A28D-7EB92035C5EA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Purchase</a:t>
          </a: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74FE8DA-D1AB-400B-B43D-A21F584D43C5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81483A0-5D0A-459D-B44D-90E43A80431E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3199371-49FB-4979-A375-6B59C2A7C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B5BC521-7ED2-48BB-BBED-4FEE43D83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4E843E7-5660-4B31-B9E7-440A29C7E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A80AB35-A89F-4033-AAA6-078D2DEB6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38313A0-399C-4720-84AD-BB94E0C77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4F56912-51BB-4298-9DEE-86EED63C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64FAE7-FD3C-4DC4-9669-DE839FB22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C22DAA7-BCBE-4349-AFC3-1C93B94D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7620</xdr:colOff>
      <xdr:row>1</xdr:row>
      <xdr:rowOff>7620</xdr:rowOff>
    </xdr:from>
    <xdr:to>
      <xdr:col>14</xdr:col>
      <xdr:colOff>464820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D447336F-11AA-4647-8616-B3FFF6F68DE5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Purchase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382002-0155-4D78-9126-28E3E72B1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AC65F9-3CC2-4DDD-96A0-0EC9925BF47B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EB213AD-8A79-490B-BC28-7A34319834C4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52F5CA-330B-4D35-BF9F-71D742E6AC01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116DF-C3CB-4DCF-A10E-857F77623AE4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3C0DA1-0897-434C-81CF-0CF2514EA094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B76D6EE-E887-4830-BEE2-D5C5CFE08D2B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FF28098-5CCA-4EEC-A984-C0680AE8F62B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CE29195-9AF7-4243-ABF0-9C154443C3D4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9E18E04-EF1E-4786-907D-4B2A52B3F1E7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ysClr val="windowText" lastClr="000000"/>
              </a:solidFill>
            </a:rPr>
            <a:t>Sales</a:t>
          </a:r>
        </a:p>
        <a:p>
          <a:pPr algn="l"/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66A7B6B-5915-442D-AC35-208C5D50638F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Inventory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E5F7425-282D-4B59-A20C-E6F5E9179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B80B7BF-0BFA-4714-8858-A951986B4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C115E57-F4A4-4AA9-96AB-378C36501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C7FE1DD-D2A4-4984-8955-4DA2617A4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16F8F44-53BE-45F7-A763-168C69314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5EC53FA-75AC-4927-8015-E629F4D46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8391FEA-AA78-4399-A802-DE002ED17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D914E51-A042-41CA-8F79-955481C5D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15240</xdr:colOff>
      <xdr:row>1</xdr:row>
      <xdr:rowOff>7620</xdr:rowOff>
    </xdr:from>
    <xdr:to>
      <xdr:col>13</xdr:col>
      <xdr:colOff>236220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D4A28BB0-12EC-4784-B785-D3EADB98891A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Sales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6073</xdr:rowOff>
    </xdr:from>
    <xdr:to>
      <xdr:col>1</xdr:col>
      <xdr:colOff>1508759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8EB0AB-FECF-4ED9-AE2D-6F5DA1082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66700" y="188953"/>
          <a:ext cx="1485899" cy="725447"/>
        </a:xfrm>
        <a:prstGeom prst="rect">
          <a:avLst/>
        </a:prstGeom>
      </xdr:spPr>
    </xdr:pic>
    <xdr:clientData/>
  </xdr:twoCellAnchor>
  <xdr:oneCellAnchor>
    <xdr:from>
      <xdr:col>1</xdr:col>
      <xdr:colOff>22860</xdr:colOff>
      <xdr:row>45</xdr:row>
      <xdr:rowOff>144718</xdr:rowOff>
    </xdr:from>
    <xdr:ext cx="53906" cy="28410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97EA340-98C7-4F6D-8C16-18A3828FA017}"/>
            </a:ext>
          </a:extLst>
        </xdr:cNvPr>
        <xdr:cNvSpPr txBox="1"/>
      </xdr:nvSpPr>
      <xdr:spPr>
        <a:xfrm>
          <a:off x="266700" y="8374318"/>
          <a:ext cx="53906" cy="2841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eoi.es/blogs/madeon/2013/03/13/gestion-de-inventarios-el-gran-desafio-de-siempre/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nc-sa/3.0/"/>
            </a:rPr>
            <a:t>CC BY-SA-NC</a:t>
          </a:r>
          <a:endParaRPr lang="en-IN" sz="900"/>
        </a:p>
      </xdr:txBody>
    </xdr:sp>
    <xdr:clientData/>
  </xdr:oneCellAnchor>
  <xdr:twoCellAnchor>
    <xdr:from>
      <xdr:col>0</xdr:col>
      <xdr:colOff>220980</xdr:colOff>
      <xdr:row>4</xdr:row>
      <xdr:rowOff>137160</xdr:rowOff>
    </xdr:from>
    <xdr:to>
      <xdr:col>1</xdr:col>
      <xdr:colOff>1485900</xdr:colOff>
      <xdr:row>7</xdr:row>
      <xdr:rowOff>91440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A42EF1B-BA9E-45E2-B1D6-E8EE5C48B0CE}"/>
            </a:ext>
          </a:extLst>
        </xdr:cNvPr>
        <xdr:cNvSpPr/>
      </xdr:nvSpPr>
      <xdr:spPr>
        <a:xfrm>
          <a:off x="220980" y="868680"/>
          <a:ext cx="1508760" cy="5029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Inventory Management System</a:t>
          </a:r>
          <a:r>
            <a:rPr lang="en-IN" sz="1100" b="1" baseline="0">
              <a:solidFill>
                <a:schemeClr val="tx1"/>
              </a:solidFill>
            </a:rPr>
            <a:t> 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487680</xdr:colOff>
      <xdr:row>7</xdr:row>
      <xdr:rowOff>137160</xdr:rowOff>
    </xdr:from>
    <xdr:to>
      <xdr:col>2</xdr:col>
      <xdr:colOff>68580</xdr:colOff>
      <xdr:row>9</xdr:row>
      <xdr:rowOff>45720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3EC7A4-C68A-4860-AFB4-600F9BEE4536}"/>
            </a:ext>
          </a:extLst>
        </xdr:cNvPr>
        <xdr:cNvSpPr/>
      </xdr:nvSpPr>
      <xdr:spPr>
        <a:xfrm>
          <a:off x="731520" y="14173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Dashboard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9</xdr:row>
      <xdr:rowOff>22860</xdr:rowOff>
    </xdr:from>
    <xdr:to>
      <xdr:col>2</xdr:col>
      <xdr:colOff>68580</xdr:colOff>
      <xdr:row>10</xdr:row>
      <xdr:rowOff>114300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BE61787-A5E6-4A31-BE3A-C200C7DF0A56}"/>
            </a:ext>
          </a:extLst>
        </xdr:cNvPr>
        <xdr:cNvSpPr/>
      </xdr:nvSpPr>
      <xdr:spPr>
        <a:xfrm>
          <a:off x="731520" y="16687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Customers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10</xdr:row>
      <xdr:rowOff>91440</xdr:rowOff>
    </xdr:from>
    <xdr:to>
      <xdr:col>2</xdr:col>
      <xdr:colOff>68580</xdr:colOff>
      <xdr:row>12</xdr:row>
      <xdr:rowOff>0</xdr:rowOff>
    </xdr:to>
    <xdr:sp macro="" textlink="">
      <xdr:nvSpPr>
        <xdr:cNvPr id="7" name="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CB82404-44F2-47AA-9EAA-D6C98BB49387}"/>
            </a:ext>
          </a:extLst>
        </xdr:cNvPr>
        <xdr:cNvSpPr/>
      </xdr:nvSpPr>
      <xdr:spPr>
        <a:xfrm>
          <a:off x="731520" y="19202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Products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11</xdr:row>
      <xdr:rowOff>160020</xdr:rowOff>
    </xdr:from>
    <xdr:to>
      <xdr:col>2</xdr:col>
      <xdr:colOff>68580</xdr:colOff>
      <xdr:row>13</xdr:row>
      <xdr:rowOff>68580</xdr:rowOff>
    </xdr:to>
    <xdr:sp macro="" textlink="">
      <xdr:nvSpPr>
        <xdr:cNvPr id="8" name="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E3DB942-E9A3-48E5-A86F-9103F3697857}"/>
            </a:ext>
          </a:extLst>
        </xdr:cNvPr>
        <xdr:cNvSpPr/>
      </xdr:nvSpPr>
      <xdr:spPr>
        <a:xfrm>
          <a:off x="731520" y="217170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Vendors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13</xdr:row>
      <xdr:rowOff>45720</xdr:rowOff>
    </xdr:from>
    <xdr:to>
      <xdr:col>2</xdr:col>
      <xdr:colOff>68580</xdr:colOff>
      <xdr:row>14</xdr:row>
      <xdr:rowOff>137160</xdr:rowOff>
    </xdr:to>
    <xdr:sp macro="" textlink="">
      <xdr:nvSpPr>
        <xdr:cNvPr id="9" name="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1763E9D-5D0C-4BE9-ADB3-0731C9220D88}"/>
            </a:ext>
          </a:extLst>
        </xdr:cNvPr>
        <xdr:cNvSpPr/>
      </xdr:nvSpPr>
      <xdr:spPr>
        <a:xfrm>
          <a:off x="731520" y="242316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New Entry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14</xdr:row>
      <xdr:rowOff>114300</xdr:rowOff>
    </xdr:from>
    <xdr:to>
      <xdr:col>2</xdr:col>
      <xdr:colOff>68580</xdr:colOff>
      <xdr:row>16</xdr:row>
      <xdr:rowOff>22860</xdr:rowOff>
    </xdr:to>
    <xdr:sp macro="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189DE36-1ABA-4EDA-93BF-D0BD13DA0A3B}"/>
            </a:ext>
          </a:extLst>
        </xdr:cNvPr>
        <xdr:cNvSpPr/>
      </xdr:nvSpPr>
      <xdr:spPr>
        <a:xfrm>
          <a:off x="731520" y="267462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Purchase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16</xdr:row>
      <xdr:rowOff>0</xdr:rowOff>
    </xdr:from>
    <xdr:to>
      <xdr:col>2</xdr:col>
      <xdr:colOff>68580</xdr:colOff>
      <xdr:row>17</xdr:row>
      <xdr:rowOff>91440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2235C48-EE83-4F2B-90B0-22188F2D6A2E}"/>
            </a:ext>
          </a:extLst>
        </xdr:cNvPr>
        <xdr:cNvSpPr/>
      </xdr:nvSpPr>
      <xdr:spPr>
        <a:xfrm>
          <a:off x="731520" y="292608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>
              <a:solidFill>
                <a:schemeClr val="tx1">
                  <a:lumMod val="50000"/>
                  <a:lumOff val="50000"/>
                </a:schemeClr>
              </a:solidFill>
            </a:rPr>
            <a:t>Sales</a:t>
          </a:r>
        </a:p>
        <a:p>
          <a:pPr algn="l"/>
          <a:endParaRPr lang="en-IN" sz="11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487680</xdr:colOff>
      <xdr:row>17</xdr:row>
      <xdr:rowOff>68580</xdr:rowOff>
    </xdr:from>
    <xdr:to>
      <xdr:col>2</xdr:col>
      <xdr:colOff>68580</xdr:colOff>
      <xdr:row>18</xdr:row>
      <xdr:rowOff>160020</xdr:rowOff>
    </xdr:to>
    <xdr:sp macro="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0F242B1-34A2-4940-A79D-639286B68570}"/>
            </a:ext>
          </a:extLst>
        </xdr:cNvPr>
        <xdr:cNvSpPr/>
      </xdr:nvSpPr>
      <xdr:spPr>
        <a:xfrm>
          <a:off x="731520" y="3177540"/>
          <a:ext cx="10972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Inventory</a:t>
          </a:r>
        </a:p>
        <a:p>
          <a:pPr algn="l"/>
          <a:endParaRPr lang="en-IN" sz="1100" b="1">
            <a:solidFill>
              <a:schemeClr val="tx1"/>
            </a:solidFill>
          </a:endParaRPr>
        </a:p>
        <a:p>
          <a:pPr algn="l"/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205740</xdr:colOff>
      <xdr:row>8</xdr:row>
      <xdr:rowOff>7620</xdr:rowOff>
    </xdr:from>
    <xdr:to>
      <xdr:col>1</xdr:col>
      <xdr:colOff>385740</xdr:colOff>
      <xdr:row>9</xdr:row>
      <xdr:rowOff>4740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5A73CE2-4FA6-4D0C-A3E3-807C86681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449580" y="14706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9</xdr:row>
      <xdr:rowOff>75111</xdr:rowOff>
    </xdr:from>
    <xdr:to>
      <xdr:col>1</xdr:col>
      <xdr:colOff>385740</xdr:colOff>
      <xdr:row>10</xdr:row>
      <xdr:rowOff>72231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3EB0BA0-EA1B-4675-A345-7E3265F9C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721031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10</xdr:row>
      <xdr:rowOff>142602</xdr:rowOff>
    </xdr:from>
    <xdr:to>
      <xdr:col>1</xdr:col>
      <xdr:colOff>385740</xdr:colOff>
      <xdr:row>11</xdr:row>
      <xdr:rowOff>139722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4F9B675-BFA8-40E4-9385-122CEBC5C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1971402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12</xdr:row>
      <xdr:rowOff>27213</xdr:rowOff>
    </xdr:from>
    <xdr:to>
      <xdr:col>1</xdr:col>
      <xdr:colOff>385740</xdr:colOff>
      <xdr:row>13</xdr:row>
      <xdr:rowOff>24333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2FA7372-946F-4AD5-9ED1-C24434AE0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221773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13</xdr:row>
      <xdr:rowOff>94704</xdr:rowOff>
    </xdr:from>
    <xdr:to>
      <xdr:col>1</xdr:col>
      <xdr:colOff>385740</xdr:colOff>
      <xdr:row>14</xdr:row>
      <xdr:rowOff>91824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350E7A-4784-41C8-85A1-9469ABD6E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472144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14</xdr:row>
      <xdr:rowOff>162195</xdr:rowOff>
    </xdr:from>
    <xdr:to>
      <xdr:col>1</xdr:col>
      <xdr:colOff>385740</xdr:colOff>
      <xdr:row>15</xdr:row>
      <xdr:rowOff>159315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3F2D40C-2FB2-4CAE-9127-8ABB3FEFB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722515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16</xdr:row>
      <xdr:rowOff>46806</xdr:rowOff>
    </xdr:from>
    <xdr:to>
      <xdr:col>1</xdr:col>
      <xdr:colOff>385740</xdr:colOff>
      <xdr:row>17</xdr:row>
      <xdr:rowOff>43926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93149AD-4D84-40F2-9083-DC8D25F9D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49580" y="2972886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205740</xdr:colOff>
      <xdr:row>17</xdr:row>
      <xdr:rowOff>114300</xdr:rowOff>
    </xdr:from>
    <xdr:to>
      <xdr:col>1</xdr:col>
      <xdr:colOff>385740</xdr:colOff>
      <xdr:row>18</xdr:row>
      <xdr:rowOff>111420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7D83F13-09E0-45BC-A554-BCF0D118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grayscl/>
        </a:blip>
        <a:stretch>
          <a:fillRect/>
        </a:stretch>
      </xdr:blipFill>
      <xdr:spPr>
        <a:xfrm>
          <a:off x="449580" y="3223260"/>
          <a:ext cx="180000" cy="1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</xdr:col>
      <xdr:colOff>0</xdr:colOff>
      <xdr:row>1</xdr:row>
      <xdr:rowOff>7620</xdr:rowOff>
    </xdr:from>
    <xdr:to>
      <xdr:col>14</xdr:col>
      <xdr:colOff>53340</xdr:colOff>
      <xdr:row>3</xdr:row>
      <xdr:rowOff>160020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19E6EF4-8647-4E10-84DA-CA6ED6DAB893}"/>
            </a:ext>
          </a:extLst>
        </xdr:cNvPr>
        <xdr:cNvSpPr/>
      </xdr:nvSpPr>
      <xdr:spPr>
        <a:xfrm>
          <a:off x="1973580" y="190500"/>
          <a:ext cx="7818120" cy="51816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 b="1">
              <a:solidFill>
                <a:schemeClr val="tx1"/>
              </a:solidFill>
            </a:rPr>
            <a:t>   Inventory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ul" refreshedDate="45878.641495138887" createdVersion="7" refreshedVersion="7" minRefreshableVersion="3" recordCount="12" xr:uid="{5A613A8B-DFBF-4BB6-BE7F-0330A6AD4896}">
  <cacheSource type="worksheet">
    <worksheetSource name="CustomersData"/>
  </cacheSource>
  <cacheFields count="4">
    <cacheField name="Cus_ID" numFmtId="0">
      <sharedItems containsSemiMixedTypes="0" containsString="0" containsNumber="1" containsInteger="1" minValue="101" maxValue="112"/>
    </cacheField>
    <cacheField name="Name" numFmtId="0">
      <sharedItems/>
    </cacheField>
    <cacheField name="Email " numFmtId="0">
      <sharedItems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ul" refreshedDate="45878.641495370372" createdVersion="7" refreshedVersion="7" minRefreshableVersion="3" recordCount="10" xr:uid="{1B8F00C3-C324-4034-B908-00A8E9108E43}">
  <cacheSource type="worksheet">
    <worksheetSource name="ProductsData"/>
  </cacheSource>
  <cacheFields count="4">
    <cacheField name="HSN Code" numFmtId="0">
      <sharedItems/>
    </cacheField>
    <cacheField name="Product Name" numFmtId="0">
      <sharedItems/>
    </cacheField>
    <cacheField name="Cost " numFmtId="0">
      <sharedItems containsSemiMixedTypes="0" containsString="0" containsNumber="1" containsInteger="1" minValue="98" maxValue="52000"/>
    </cacheField>
    <cacheField name="Selling Price" numFmtId="0">
      <sharedItems containsSemiMixedTypes="0" containsString="0" containsNumber="1" containsInteger="1" minValue="200" maxValue="6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ul" refreshedDate="45878.64149548611" createdVersion="7" refreshedVersion="7" minRefreshableVersion="3" recordCount="18" xr:uid="{4909BBAD-F90E-4B7A-814C-5C4E342E9647}">
  <cacheSource type="worksheet">
    <worksheetSource name="PurchseData"/>
  </cacheSource>
  <cacheFields count="7">
    <cacheField name="HSN Code" numFmtId="0">
      <sharedItems containsBlank="1"/>
    </cacheField>
    <cacheField name="Product Name" numFmtId="0">
      <sharedItems/>
    </cacheField>
    <cacheField name="Vendor" numFmtId="0">
      <sharedItems/>
    </cacheField>
    <cacheField name="Date" numFmtId="14">
      <sharedItems containsDate="1" containsMixedTypes="1" minDate="2025-08-09T00:00:00" maxDate="2025-08-10T00:00:00"/>
    </cacheField>
    <cacheField name="Units" numFmtId="0">
      <sharedItems containsString="0" containsBlank="1" containsNumber="1" containsInteger="1" minValue="1" maxValue="30"/>
    </cacheField>
    <cacheField name="Cost" numFmtId="0">
      <sharedItems containsMixedTypes="1" containsNumber="1" containsInteger="1" minValue="98" maxValue="52000"/>
    </cacheField>
    <cacheField name="Amount" numFmtId="0">
      <sharedItems containsMixedTypes="1" containsNumber="1" containsInteger="1" minValue="196" maxValue="15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ul" refreshedDate="45878.641495717595" createdVersion="7" refreshedVersion="7" minRefreshableVersion="3" recordCount="13" xr:uid="{FC4F4090-F82C-4003-82B2-157A837E998F}">
  <cacheSource type="worksheet">
    <worksheetSource name="SalesData"/>
  </cacheSource>
  <cacheFields count="9">
    <cacheField name="Cus_ID" numFmtId="0">
      <sharedItems containsString="0" containsBlank="1" containsNumber="1" containsInteger="1" minValue="101" maxValue="108"/>
    </cacheField>
    <cacheField name="Customer Name" numFmtId="0">
      <sharedItems count="7">
        <s v="Anil Patel"/>
        <s v="Rakesh Patel"/>
        <s v="Satendra Patel"/>
        <s v="Rahul Patel"/>
        <s v="Veerbhan Patel"/>
        <s v="Pushpendra Patel"/>
        <s v=""/>
      </sharedItems>
    </cacheField>
    <cacheField name="HSN Code" numFmtId="0">
      <sharedItems containsBlank="1"/>
    </cacheField>
    <cacheField name="Product Name" numFmtId="0">
      <sharedItems/>
    </cacheField>
    <cacheField name="Date" numFmtId="14">
      <sharedItems containsDate="1" containsMixedTypes="1" minDate="2025-08-09T00:00:00" maxDate="2025-08-10T00:00:00"/>
    </cacheField>
    <cacheField name="Stock(Unit)" numFmtId="0">
      <sharedItems containsMixedTypes="1" containsNumber="1" containsInteger="1" minValue="0" maxValue="25"/>
    </cacheField>
    <cacheField name="Unit" numFmtId="0">
      <sharedItems containsString="0" containsBlank="1" containsNumber="1" containsInteger="1" minValue="1" maxValue="18"/>
    </cacheField>
    <cacheField name="Price" numFmtId="0">
      <sharedItems containsMixedTypes="1" containsNumber="1" containsInteger="1" minValue="408" maxValue="62400"/>
    </cacheField>
    <cacheField name="Amount" numFmtId="0">
      <sharedItems containsMixedTypes="1" containsNumber="1" containsInteger="1" minValue="0" maxValue="499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ul" refreshedDate="45878.641495949072" createdVersion="7" refreshedVersion="7" minRefreshableVersion="3" recordCount="10" xr:uid="{C205B884-50A0-4649-9E95-A251483274AE}">
  <cacheSource type="worksheet">
    <worksheetSource name="InventoryData"/>
  </cacheSource>
  <cacheFields count="7">
    <cacheField name="HSN Code" numFmtId="0">
      <sharedItems/>
    </cacheField>
    <cacheField name="Product Name" numFmtId="0">
      <sharedItems count="10">
        <s v="Smart Watch"/>
        <s v="Laptop HP xyz"/>
        <s v="Wireless Printer"/>
        <s v="Desktop"/>
        <s v="Mouse"/>
        <s v="Rgb Keyboard"/>
        <s v="Camera"/>
        <s v="Headphones"/>
        <s v="Speakers"/>
        <s v="Tablets"/>
      </sharedItems>
    </cacheField>
    <cacheField name="Cost" numFmtId="0">
      <sharedItems containsSemiMixedTypes="0" containsString="0" containsNumber="1" containsInteger="1" minValue="98" maxValue="52000"/>
    </cacheField>
    <cacheField name="P Units " numFmtId="0">
      <sharedItems containsSemiMixedTypes="0" containsString="0" containsNumber="1" containsInteger="1" minValue="0" maxValue="30"/>
    </cacheField>
    <cacheField name="S Units" numFmtId="0">
      <sharedItems containsSemiMixedTypes="0" containsString="0" containsNumber="1" containsInteger="1" minValue="0" maxValue="12"/>
    </cacheField>
    <cacheField name="Stock" numFmtId="0">
      <sharedItems containsSemiMixedTypes="0" containsString="0" containsNumber="1" containsInteger="1" minValue="0" maxValue="25"/>
    </cacheField>
    <cacheField name="Stock Amount" numFmtId="0">
      <sharedItems containsSemiMixedTypes="0" containsString="0" containsNumber="1" containsInteger="1" minValue="0" maxValue="10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01"/>
    <s v="Anil Patel"/>
    <s v="anilpatel786@gmail.com"/>
    <s v="Satna Madhya Pradesh "/>
  </r>
  <r>
    <n v="102"/>
    <s v="Veerbhan Patel"/>
    <s v="veerbanpatel@gmail.com"/>
    <s v="Satna Madhya Pradesh"/>
  </r>
  <r>
    <n v="103"/>
    <s v="Rahul Patel"/>
    <s v="rahulanpatel@gmail.com"/>
    <s v="Satna Madhya Pradesh"/>
  </r>
  <r>
    <n v="104"/>
    <s v="Rakesh Patel"/>
    <s v="rakesanpatel@gmail.com"/>
    <s v="Satna Madhya Pradesh"/>
  </r>
  <r>
    <n v="105"/>
    <s v="Nilu Patel"/>
    <s v="nilupatel@gmail.com"/>
    <s v="Satna Madhya Pradesh"/>
  </r>
  <r>
    <n v="106"/>
    <s v="Vipin Patel"/>
    <s v="vipinanpatel@gmail.com"/>
    <s v="Satna Madhya Pradesh"/>
  </r>
  <r>
    <n v="107"/>
    <s v="Pushpendra Patel"/>
    <s v="pushpanpatel@gmail.com"/>
    <s v="Satna Madhya Pradesh"/>
  </r>
  <r>
    <n v="108"/>
    <s v="Satendra Patel"/>
    <s v="satenanpatel@gmail.com"/>
    <s v="Satna Madhya Pradesh"/>
  </r>
  <r>
    <n v="109"/>
    <s v="Mahendra Patel "/>
    <s v="mahenanpatel@gmail.com"/>
    <s v="Satna Madhya Pradesh"/>
  </r>
  <r>
    <n v="110"/>
    <s v="Rameshwar Patel"/>
    <s v="ramesanpatel@gmail.com"/>
    <s v="Satna Madhya Pradesh"/>
  </r>
  <r>
    <n v="111"/>
    <s v="Vijay Patel"/>
    <s v="vijayanpatel@gmail.com"/>
    <s v="Satna Madhya Pradesh"/>
  </r>
  <r>
    <n v="112"/>
    <s v="Arunendra Patel"/>
    <s v="aruneanpatel@gmail.com"/>
    <s v="Satna Madhya Prades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N1001"/>
    <s v="Smart Watch"/>
    <n v="98"/>
    <n v="1176"/>
  </r>
  <r>
    <s v="N1002"/>
    <s v="Laptop HP xyz"/>
    <n v="34500"/>
    <n v="41400"/>
  </r>
  <r>
    <s v="N1003"/>
    <s v="Wireless Printer"/>
    <n v="4600"/>
    <n v="55200"/>
  </r>
  <r>
    <s v="N1004"/>
    <s v="Desktop"/>
    <n v="21000"/>
    <n v="25200"/>
  </r>
  <r>
    <s v="N1005"/>
    <s v="Mouse"/>
    <n v="200"/>
    <n v="200"/>
  </r>
  <r>
    <s v="N1006"/>
    <s v="Rgb Keyboard"/>
    <n v="340"/>
    <n v="408"/>
  </r>
  <r>
    <s v="N1007"/>
    <s v="Camera"/>
    <n v="52000"/>
    <n v="62400"/>
  </r>
  <r>
    <s v="N1008"/>
    <s v="Headphones"/>
    <n v="799"/>
    <n v="9588"/>
  </r>
  <r>
    <s v="N1009"/>
    <s v="Speakers"/>
    <n v="670"/>
    <n v="804"/>
  </r>
  <r>
    <s v="N1010"/>
    <s v="Tablets"/>
    <n v="23500"/>
    <n v="282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N1003"/>
    <s v="Wireless Printer"/>
    <s v="Patel Traders"/>
    <d v="2025-08-09T00:00:00"/>
    <n v="2"/>
    <n v="4600"/>
    <n v="9200"/>
  </r>
  <r>
    <s v="N1002"/>
    <s v="Laptop HP xyz"/>
    <s v="Patel Traders"/>
    <d v="2025-08-09T00:00:00"/>
    <n v="2"/>
    <n v="34500"/>
    <n v="69000"/>
  </r>
  <r>
    <s v="N1002"/>
    <s v="Laptop HP xyz"/>
    <s v="Patel Traders"/>
    <d v="2025-08-09T00:00:00"/>
    <n v="1"/>
    <n v="34500"/>
    <n v="34500"/>
  </r>
  <r>
    <s v="N1002"/>
    <s v="Laptop HP xyz"/>
    <s v="Patel Traders"/>
    <d v="2025-08-09T00:00:00"/>
    <n v="3"/>
    <n v="34500"/>
    <n v="103500"/>
  </r>
  <r>
    <s v="N1006"/>
    <s v="Rgb Keyboard"/>
    <s v="Veer Tech"/>
    <d v="2025-08-09T00:00:00"/>
    <n v="5"/>
    <n v="340"/>
    <n v="1700"/>
  </r>
  <r>
    <s v="N1008"/>
    <s v="Headphones"/>
    <s v="GG Traders"/>
    <d v="2025-08-09T00:00:00"/>
    <n v="6"/>
    <n v="799"/>
    <n v="4794"/>
  </r>
  <r>
    <s v="N1010"/>
    <s v="Tablets"/>
    <s v="GG Traders"/>
    <d v="2025-08-09T00:00:00"/>
    <n v="2"/>
    <n v="23500"/>
    <n v="47000"/>
  </r>
  <r>
    <s v="N1005"/>
    <s v="Mouse"/>
    <s v="Veer Tech"/>
    <d v="2025-08-09T00:00:00"/>
    <n v="3"/>
    <n v="200"/>
    <n v="600"/>
  </r>
  <r>
    <s v="N1001"/>
    <s v="Smart Watch"/>
    <s v="Patel Traders"/>
    <d v="2025-08-09T00:00:00"/>
    <n v="2"/>
    <n v="98"/>
    <n v="196"/>
  </r>
  <r>
    <s v="N1002"/>
    <s v="Laptop HP xyz"/>
    <s v="Patel Traders"/>
    <d v="2025-08-09T00:00:00"/>
    <n v="5"/>
    <n v="34500"/>
    <n v="172500"/>
  </r>
  <r>
    <s v="N1010"/>
    <s v="Tablets"/>
    <s v="GG Traders"/>
    <d v="2025-08-09T00:00:00"/>
    <n v="10"/>
    <n v="23500"/>
    <n v="235000"/>
  </r>
  <r>
    <s v="N1005"/>
    <s v="Mouse"/>
    <s v="Veer Tech"/>
    <d v="2025-08-09T00:00:00"/>
    <n v="5"/>
    <n v="200"/>
    <n v="1000"/>
  </r>
  <r>
    <s v="N1007"/>
    <s v="Camera"/>
    <s v="GG Traders"/>
    <d v="2025-08-09T00:00:00"/>
    <n v="30"/>
    <n v="52000"/>
    <n v="1560000"/>
  </r>
  <r>
    <s v="N1001"/>
    <s v="Smart Watch"/>
    <s v="Patel Traders"/>
    <d v="2025-08-09T00:00:00"/>
    <n v="25"/>
    <n v="98"/>
    <n v="2450"/>
  </r>
  <r>
    <s v="N1008"/>
    <s v="Headphones"/>
    <s v="GG Traders"/>
    <d v="2025-08-09T00:00:00"/>
    <n v="23"/>
    <n v="799"/>
    <n v="18377"/>
  </r>
  <r>
    <m/>
    <s v=""/>
    <s v=""/>
    <s v=""/>
    <m/>
    <s v=""/>
    <s v=""/>
  </r>
  <r>
    <m/>
    <s v=""/>
    <s v=""/>
    <s v=""/>
    <m/>
    <s v=""/>
    <s v=""/>
  </r>
  <r>
    <m/>
    <s v=""/>
    <s v=""/>
    <s v=""/>
    <m/>
    <s v="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01"/>
    <x v="0"/>
    <s v="N1003"/>
    <s v="Wireless Printer"/>
    <d v="2025-08-09T00:00:00"/>
    <n v="1"/>
    <n v="1"/>
    <n v="55200"/>
    <n v="55200"/>
  </r>
  <r>
    <n v="104"/>
    <x v="1"/>
    <s v="N1001"/>
    <s v="Smart Watch"/>
    <d v="2025-08-09T00:00:00"/>
    <n v="25"/>
    <n v="2"/>
    <n v="1176"/>
    <n v="2352"/>
  </r>
  <r>
    <n v="108"/>
    <x v="2"/>
    <s v="N1008"/>
    <s v="Headphones"/>
    <d v="2025-08-09T00:00:00"/>
    <n v="17"/>
    <n v="2"/>
    <n v="9588"/>
    <n v="19176"/>
  </r>
  <r>
    <n v="103"/>
    <x v="3"/>
    <s v="N1003"/>
    <s v="Wireless Printer"/>
    <d v="2025-08-09T00:00:00"/>
    <n v="1"/>
    <n v="1"/>
    <n v="55200"/>
    <n v="55200"/>
  </r>
  <r>
    <n v="102"/>
    <x v="4"/>
    <s v="N1004"/>
    <s v="Desktop"/>
    <d v="2025-08-09T00:00:00"/>
    <n v="0"/>
    <m/>
    <n v="25200"/>
    <n v="0"/>
  </r>
  <r>
    <n v="107"/>
    <x v="5"/>
    <s v="N1006"/>
    <s v="Rgb Keyboard"/>
    <d v="2025-08-09T00:00:00"/>
    <n v="0"/>
    <n v="5"/>
    <n v="408"/>
    <n v="2040"/>
  </r>
  <r>
    <n v="103"/>
    <x v="3"/>
    <s v="N1010"/>
    <s v="Tablets"/>
    <d v="2025-08-09T00:00:00"/>
    <n v="12"/>
    <n v="2"/>
    <n v="28200"/>
    <n v="56400"/>
  </r>
  <r>
    <n v="107"/>
    <x v="5"/>
    <s v="N1007"/>
    <s v="Camera"/>
    <d v="2025-08-09T00:00:00"/>
    <n v="20"/>
    <n v="8"/>
    <n v="62400"/>
    <n v="499200"/>
  </r>
  <r>
    <n v="103"/>
    <x v="3"/>
    <s v="N1007"/>
    <s v="Camera"/>
    <d v="2025-08-09T00:00:00"/>
    <n v="20"/>
    <n v="2"/>
    <n v="62400"/>
    <n v="124800"/>
  </r>
  <r>
    <n v="102"/>
    <x v="4"/>
    <s v="N1001"/>
    <s v="Smart Watch"/>
    <d v="2025-08-09T00:00:00"/>
    <n v="25"/>
    <n v="18"/>
    <n v="1176"/>
    <n v="21168"/>
  </r>
  <r>
    <n v="108"/>
    <x v="2"/>
    <s v="N1008"/>
    <s v="Headphones"/>
    <d v="2025-08-09T00:00:00"/>
    <n v="17"/>
    <n v="12"/>
    <n v="9588"/>
    <n v="115056"/>
  </r>
  <r>
    <m/>
    <x v="6"/>
    <m/>
    <s v=""/>
    <s v=""/>
    <s v=""/>
    <m/>
    <s v=""/>
    <s v=""/>
  </r>
  <r>
    <m/>
    <x v="6"/>
    <m/>
    <s v=""/>
    <s v=""/>
    <s v=""/>
    <m/>
    <s v="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N1001"/>
    <x v="0"/>
    <n v="98"/>
    <n v="27"/>
    <n v="2"/>
    <n v="25"/>
    <n v="2450"/>
  </r>
  <r>
    <s v="N1002"/>
    <x v="1"/>
    <n v="34500"/>
    <n v="11"/>
    <n v="0"/>
    <n v="11"/>
    <n v="379500"/>
  </r>
  <r>
    <s v="N1003"/>
    <x v="2"/>
    <n v="4600"/>
    <n v="2"/>
    <n v="1"/>
    <n v="1"/>
    <n v="4600"/>
  </r>
  <r>
    <s v="N1004"/>
    <x v="3"/>
    <n v="21000"/>
    <n v="0"/>
    <n v="0"/>
    <n v="0"/>
    <n v="0"/>
  </r>
  <r>
    <s v="N1005"/>
    <x v="4"/>
    <n v="200"/>
    <n v="8"/>
    <n v="0"/>
    <n v="8"/>
    <n v="1600"/>
  </r>
  <r>
    <s v="N1006"/>
    <x v="5"/>
    <n v="340"/>
    <n v="5"/>
    <n v="5"/>
    <n v="0"/>
    <n v="0"/>
  </r>
  <r>
    <s v="N1007"/>
    <x v="6"/>
    <n v="52000"/>
    <n v="30"/>
    <n v="10"/>
    <n v="20"/>
    <n v="1040000"/>
  </r>
  <r>
    <s v="N1008"/>
    <x v="7"/>
    <n v="799"/>
    <n v="29"/>
    <n v="12"/>
    <n v="17"/>
    <n v="13583"/>
  </r>
  <r>
    <s v="N1009"/>
    <x v="8"/>
    <n v="670"/>
    <n v="0"/>
    <n v="0"/>
    <n v="0"/>
    <n v="0"/>
  </r>
  <r>
    <s v="N1010"/>
    <x v="9"/>
    <n v="23500"/>
    <n v="12"/>
    <n v="0"/>
    <n v="12"/>
    <n v="28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0AFD3-2E76-40AC-8F4F-B04D3B7BB159}" name="PivotTable14" cacheId="1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4">
  <location ref="A27:B38" firstHeaderRow="1" firstDataRow="1" firstDataCol="1"/>
  <pivotFields count="7">
    <pivotField showAll="0"/>
    <pivotField axis="axisRow" showAll="0">
      <items count="11">
        <item x="6"/>
        <item x="3"/>
        <item x="7"/>
        <item x="1"/>
        <item x="4"/>
        <item x="5"/>
        <item x="0"/>
        <item x="8"/>
        <item x="9"/>
        <item x="2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Stock" fld="5" baseField="0" baseItem="0"/>
  </dataFields>
  <chartFormats count="3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67874-1FCB-43D1-A037-FF9124401BC3}" name="PivotTable13" cacheId="1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F26:G32" firstHeaderRow="1" firstDataRow="1" firstDataCol="1"/>
  <pivotFields count="9">
    <pivotField showAll="0"/>
    <pivotField axis="axisRow" showAll="0" measureFilter="1" sortType="descending">
      <items count="8">
        <item x="6"/>
        <item x="0"/>
        <item x="5"/>
        <item x="3"/>
        <item x="1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 v="2"/>
    </i>
    <i>
      <x v="3"/>
    </i>
    <i>
      <x v="5"/>
    </i>
    <i>
      <x v="1"/>
    </i>
    <i>
      <x v="6"/>
    </i>
    <i t="grand">
      <x/>
    </i>
  </rowItems>
  <colItems count="1">
    <i/>
  </colItems>
  <dataFields count="1">
    <dataField name="Sum of Amount" fld="8" baseField="1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1DC329-A1B1-44B6-8CE0-ED467386E0FC}" name="PivotTable11" cacheId="1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F17:G23" firstHeaderRow="1" firstDataRow="1" firstDataCol="1"/>
  <pivotFields count="7">
    <pivotField showAll="0"/>
    <pivotField axis="axisRow" showAll="0" measureFilter="1" sortType="descending">
      <items count="11">
        <item x="6"/>
        <item x="3"/>
        <item x="7"/>
        <item x="1"/>
        <item x="4"/>
        <item x="5"/>
        <item x="0"/>
        <item x="8"/>
        <item x="9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1">
    <field x="1"/>
  </rowFields>
  <rowItems count="6">
    <i>
      <x v="2"/>
    </i>
    <i>
      <x/>
    </i>
    <i>
      <x v="5"/>
    </i>
    <i>
      <x v="6"/>
    </i>
    <i>
      <x v="9"/>
    </i>
    <i t="grand">
      <x/>
    </i>
  </rowItems>
  <colItems count="1">
    <i/>
  </colItems>
  <dataFields count="1">
    <dataField name="Sum of S Units" fld="4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4DF0F-A158-46B3-B26F-136C41397F99}" name="PivotTable9" cacheId="1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0:A21" firstHeaderRow="1" firstDataRow="1" firstDataCol="0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Sum of Amount" fld="8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DF1615-E408-4759-A7A4-985407EA78DC}" name="PivotTable6" cacheId="1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7:A18" firstHeaderRow="1" firstDataRow="1" firstDataCol="0"/>
  <pivotFields count="7"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Sum of Stock 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92775-0877-4869-8615-703DB916629F}" name="PivotTable5" cacheId="1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3:A14" firstHeaderRow="1" firstDataRow="1" firstDataCol="0"/>
  <pivotFields count="7"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Sum of Amount" fld="6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2161D5-FA7F-4D00-834B-869E862427A2}" name="PivotTable2" cacheId="14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6:A7" firstHeaderRow="1" firstDataRow="1" firstDataCol="0"/>
  <pivotFields count="4"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Count of HSN Code" fld="0" subtotal="count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A9818-4663-452E-B08D-B88034C6EE1B}" name="PivotTable1" cacheId="1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A3" firstHeaderRow="1" firstDataRow="1" firstDataCol="0"/>
  <pivotFields count="4"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Count of Cus_ID" fld="0" subtotal="count" baseField="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E6C3D-3554-42BB-9905-DF43C79C37A3}" name="CustomersData" displayName="CustomersData" ref="D6:G18" totalsRowShown="0">
  <autoFilter ref="D6:G18" xr:uid="{59CE6C3D-3554-42BB-9905-DF43C79C37A3}"/>
  <tableColumns count="4">
    <tableColumn id="1" xr3:uid="{D7A6D957-6313-4A44-A170-3327B56DD6B7}" name="Cus_ID" dataDxfId="47"/>
    <tableColumn id="2" xr3:uid="{B82C05A2-1F5F-4495-92D8-BC412CB834C1}" name="Name" dataDxfId="46"/>
    <tableColumn id="3" xr3:uid="{BB95E5BA-5E4E-4A12-8F85-302DFDBC63B8}" name="Email " dataDxfId="44"/>
    <tableColumn id="4" xr3:uid="{C0274E80-45E7-4334-8E82-9658A0E27616}" name="Address" dataDxfId="45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7ACC50-C8A3-4F2A-8AC9-2C6BDC9F0835}" name="ProductsData" displayName="ProductsData" ref="D6:G16" totalsRowShown="0" headerRowDxfId="38" dataDxfId="39">
  <autoFilter ref="D6:G16" xr:uid="{7A7ACC50-C8A3-4F2A-8AC9-2C6BDC9F0835}"/>
  <tableColumns count="4">
    <tableColumn id="1" xr3:uid="{0BE5AB5C-3A19-45A4-A8C8-1BF4BE9C713F}" name="HSN Code" dataDxfId="43"/>
    <tableColumn id="2" xr3:uid="{2D7D0D54-45F2-4EE6-978E-47EC46D84032}" name="Product Name" dataDxfId="42"/>
    <tableColumn id="3" xr3:uid="{549B0043-77BB-4F8D-A48F-8C3DEAC99666}" name="Cost " dataDxfId="41"/>
    <tableColumn id="4" xr3:uid="{16F53660-8CA4-43C3-9AAD-C1EC7915043B}" name="Selling Price" dataDxfId="40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3465AE-D6AE-4551-B25A-67629CC43B15}" name="VendorsData" displayName="VendorsData" ref="D6:H16" totalsRowShown="0" headerRowDxfId="23" dataDxfId="24" tableBorderDxfId="30">
  <autoFilter ref="D6:H16" xr:uid="{6A3465AE-D6AE-4551-B25A-67629CC43B15}"/>
  <tableColumns count="5">
    <tableColumn id="1" xr3:uid="{BA7B72A4-7468-41CA-8CBB-09403C0E5B16}" name="HSN Code" dataDxfId="29"/>
    <tableColumn id="2" xr3:uid="{E813881D-7B1C-40F2-A357-7807DD2D161C}" name="Product Name " dataDxfId="28"/>
    <tableColumn id="3" xr3:uid="{F74A7559-FA72-4AC6-844B-0DB7364F0C53}" name="Vendor Name" dataDxfId="27"/>
    <tableColumn id="4" xr3:uid="{D361E54C-C25C-46BC-9618-2224004A1AC4}" name="Phone" dataDxfId="26"/>
    <tableColumn id="5" xr3:uid="{4F7A6035-6E80-4AB7-8E97-DCA1442E17E8}" name="Address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D7337-16A3-4BA6-83CD-709A256C657C}" name="PurchseData" displayName="PurchseData" ref="D6:J24" totalsRowShown="0" headerRowDxfId="34" dataDxfId="35">
  <autoFilter ref="D6:J24" xr:uid="{101D7337-16A3-4BA6-83CD-709A256C657C}"/>
  <tableColumns count="7">
    <tableColumn id="1" xr3:uid="{CDF7AB64-A7CF-45DB-9362-E192CB59B73E}" name="HSN Code" dataDxfId="37"/>
    <tableColumn id="2" xr3:uid="{094E8FD5-4355-4A38-9A0F-DB33B1FB5B7F}" name="Product Name" dataDxfId="33">
      <calculatedColumnFormula>IFERROR(VLOOKUP(PurchseData[[#This Row],[HSN Code]],ProductsData[#All],2,0),"")</calculatedColumnFormula>
    </tableColumn>
    <tableColumn id="3" xr3:uid="{1D69686B-D1B0-4CF5-9F24-4658FC375C38}" name="Vendor" dataDxfId="31">
      <calculatedColumnFormula>IFERROR(VLOOKUP(PurchseData[[#This Row],[HSN Code]],Vendors!$D$6:$H$16,3,0),"")</calculatedColumnFormula>
    </tableColumn>
    <tableColumn id="4" xr3:uid="{7CC7817D-640A-4E64-A145-F2163DA8D97D}" name="Date" dataDxfId="21">
      <calculatedColumnFormula>IF(PurchseData[[#This Row],[HSN Code]] = "","",TODAY())</calculatedColumnFormula>
    </tableColumn>
    <tableColumn id="5" xr3:uid="{19C2E21D-E1EB-4423-BFDD-4A3A1D3DE923}" name="Units" dataDxfId="36"/>
    <tableColumn id="6" xr3:uid="{F13FB3BE-2F78-4490-9BAE-20F3C76D3D53}" name="Cost" dataDxfId="32">
      <calculatedColumnFormula>IFERROR(VLOOKUP(PurchseData[[#This Row],[HSN Code]],ProductsData[#All],3,0),"")</calculatedColumnFormula>
    </tableColumn>
    <tableColumn id="7" xr3:uid="{D0F7EEB5-4C48-478F-848C-C772EF7E90B8}" name="Amount" dataDxfId="22">
      <calculatedColumnFormula>IFERROR(PurchseData[[#This Row],[Units]]*PurchseData[[#This Row],[Cost]],"")</calculatedColumnFormula>
    </tableColumn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91F0BE-48ED-42E8-8913-B1BEAF12444D}" name="SalesData" displayName="SalesData" ref="D6:L19" totalsRowShown="0" headerRowDxfId="14" dataDxfId="15">
  <autoFilter ref="D6:L19" xr:uid="{F291F0BE-48ED-42E8-8913-B1BEAF12444D}"/>
  <tableColumns count="9">
    <tableColumn id="1" xr3:uid="{26E4EA73-82E5-450F-8E7D-4B3ADA86AFAC}" name="Cus_ID" dataDxfId="20"/>
    <tableColumn id="2" xr3:uid="{D79D23F9-C2D1-43A7-9EAF-B2FEF8D60B5A}" name="Customer Name" dataDxfId="19">
      <calculatedColumnFormula>IFERROR(VLOOKUP(SalesData[[#This Row],[Cus_ID]],CustomersData[#All],2,0),"")</calculatedColumnFormula>
    </tableColumn>
    <tableColumn id="3" xr3:uid="{A73CE610-ACC8-4F4E-9877-8662C16C81FA}" name="HSN Code" dataDxfId="18"/>
    <tableColumn id="4" xr3:uid="{2E964953-5A91-4C6B-8154-82EF2195417F}" name="Product Name" dataDxfId="13">
      <calculatedColumnFormula>IFERROR(VLOOKUP(SalesData[[#This Row],[HSN Code]],ProductsData[#All],2,0),"")</calculatedColumnFormula>
    </tableColumn>
    <tableColumn id="5" xr3:uid="{F2F67851-0364-4E3E-8001-A4B020736CD2}" name="Date" dataDxfId="4">
      <calculatedColumnFormula>IF(SalesData[[#This Row],[Cus_ID]]="","",TODAY())</calculatedColumnFormula>
    </tableColumn>
    <tableColumn id="9" xr3:uid="{0E2C7F82-8178-4C2C-A9DE-E4DD0C08C85E}" name="Stock(Unit)" dataDxfId="2">
      <calculatedColumnFormula>IFERROR(VLOOKUP(SalesData[[#This Row],[HSN Code]],InventoryData[#All],6,0),"")</calculatedColumnFormula>
    </tableColumn>
    <tableColumn id="6" xr3:uid="{48EC5F24-0767-47CB-9F88-E71555F782DA}" name="Unit" dataDxfId="3"/>
    <tableColumn id="7" xr3:uid="{460CF16E-DCB5-40A8-8677-4B736DD2C737}" name="Price" dataDxfId="17">
      <calculatedColumnFormula>IFERROR(VLOOKUP(SalesData[[#This Row],[HSN Code]],ProductsData[#All],4,0),"")</calculatedColumnFormula>
    </tableColumn>
    <tableColumn id="8" xr3:uid="{D6233844-7240-4809-B8ED-E32CB0AE3461}" name="Amount" dataDxfId="16">
      <calculatedColumnFormula>IFERROR(SalesData[[#This Row],[Unit]]*SalesData[[#This Row],[Price]],"")</calculatedColumnFormula>
    </tableColumn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303EE0B-F874-40D9-83A4-856E9C75766C}" name="InventoryData" displayName="InventoryData" ref="D6:K16" totalsRowShown="0" headerRowDxfId="9" dataDxfId="10">
  <autoFilter ref="D6:K16" xr:uid="{6303EE0B-F874-40D9-83A4-856E9C75766C}"/>
  <tableColumns count="8">
    <tableColumn id="1" xr3:uid="{76F24880-76A5-4CEB-9DB5-282074BE77E5}" name="HSN Code" dataDxfId="8">
      <calculatedColumnFormula>IFERROR(ProductsData[[#This Row],[HSN Code]],"")</calculatedColumnFormula>
    </tableColumn>
    <tableColumn id="2" xr3:uid="{FD502F00-4862-4F97-BA0D-1A25C09710F3}" name="Product Name" dataDxfId="12">
      <calculatedColumnFormula>IFERROR(ProductsData[[#This Row],[Product Name]],"")</calculatedColumnFormula>
    </tableColumn>
    <tableColumn id="3" xr3:uid="{8A1E6362-7DC9-4783-B2CD-A329293BC1EB}" name="Cost" dataDxfId="11">
      <calculatedColumnFormula>IFERROR(ProductsData[[#This Row],[Cost ]],"")</calculatedColumnFormula>
    </tableColumn>
    <tableColumn id="4" xr3:uid="{A93F54D4-53D7-4F63-AA92-07E30FBA16F7}" name="P Units " dataDxfId="7">
      <calculatedColumnFormula>SUMIF(PurchseData[Product Name],InventoryData[[#This Row],[Product Name]],PurchseData[Units])</calculatedColumnFormula>
    </tableColumn>
    <tableColumn id="5" xr3:uid="{16F65C0D-9F0B-4B8F-9384-089DD68AE6A1}" name="S Units" dataDxfId="6">
      <calculatedColumnFormula>SUMIF(Sales!G7:G10,InventoryData[[#This Row],[Product Name]],Sales!J7:J10)</calculatedColumnFormula>
    </tableColumn>
    <tableColumn id="6" xr3:uid="{FA54EC60-63E6-4141-983C-B6E28EE3DDBD}" name="Stock" dataDxfId="5">
      <calculatedColumnFormula>InventoryData[[#This Row],[P Units ]]-InventoryData[[#This Row],[S Units]]</calculatedColumnFormula>
    </tableColumn>
    <tableColumn id="7" xr3:uid="{79BF82A0-2D77-4025-AFA2-2A579D0B67B8}" name="Stock Amount" dataDxfId="1">
      <calculatedColumnFormula>InventoryData[[#This Row],[Cost]]*InventoryData[[#This Row],[Stock]]</calculatedColumnFormula>
    </tableColumn>
    <tableColumn id="8" xr3:uid="{630194DF-859B-4A0F-902B-FA20F5B3B89B}" name="Notification" dataDxfId="0">
      <calculatedColumnFormula>IF(InventoryData[[#This Row],[Stock]]&lt;5,"📞 " &amp; InventoryData[[#This Row],[Product Name]]&amp; " Needs to re-order ! PH " &amp; VLOOKUP(InventoryData[[#This Row],[HSN Code]],VendorsData[#All],4,0),"")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5F8C-EE32-4DF4-ABB5-C4943F961A2D}">
  <sheetPr>
    <pageSetUpPr fitToPage="1"/>
  </sheetPr>
  <dimension ref="B1:O59"/>
  <sheetViews>
    <sheetView showGridLines="0" showRowColHeaders="0" tabSelected="1" topLeftCell="A22" workbookViewId="0">
      <selection sqref="A1:P25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" style="1" customWidth="1"/>
    <col min="4" max="16384" width="8.88671875" style="1"/>
  </cols>
  <sheetData>
    <row r="1" spans="11:15" s="1" customFormat="1" x14ac:dyDescent="0.3"/>
    <row r="9" spans="11:15" ht="15.6" x14ac:dyDescent="0.3">
      <c r="K9" s="15" t="s">
        <v>97</v>
      </c>
      <c r="L9" s="14"/>
      <c r="M9" s="14"/>
      <c r="N9" s="14"/>
      <c r="O9" s="14"/>
    </row>
    <row r="10" spans="11:15" x14ac:dyDescent="0.3">
      <c r="K10" s="2" t="str" cm="1">
        <f t="array" ref="K10:K14">_xlfn._xlws.FILTER(InventoryData[[#All],[Notification]],Inventory!K6:K16 &lt;&gt;"")</f>
        <v>Notification</v>
      </c>
      <c r="L10" s="2"/>
      <c r="M10" s="2"/>
      <c r="N10" s="2"/>
      <c r="O10" s="2"/>
    </row>
    <row r="11" spans="11:15" x14ac:dyDescent="0.3">
      <c r="K11" s="2" t="str">
        <v>📞 Wireless Printer Needs to re-order ! PH 8784XXXXXX</v>
      </c>
      <c r="L11" s="2"/>
      <c r="M11" s="2"/>
      <c r="N11" s="2"/>
      <c r="O11" s="2"/>
    </row>
    <row r="12" spans="11:15" x14ac:dyDescent="0.3">
      <c r="K12" s="2" t="str">
        <v>📞 Desktop Needs to re-order ! PH 8694XXXXXX</v>
      </c>
      <c r="L12" s="2"/>
      <c r="M12" s="2"/>
      <c r="N12" s="2"/>
      <c r="O12" s="2"/>
    </row>
    <row r="13" spans="11:15" x14ac:dyDescent="0.3">
      <c r="K13" s="2" t="str">
        <v>📞 Rgb Keyboard Needs to re-order ! PH 8694XXXXXX</v>
      </c>
      <c r="L13" s="2"/>
      <c r="M13" s="2"/>
      <c r="N13" s="2"/>
      <c r="O13" s="2"/>
    </row>
    <row r="14" spans="11:15" x14ac:dyDescent="0.3">
      <c r="K14" s="2" t="str">
        <v>📞 Speakers Needs to re-order ! PH 8784XXXXXX</v>
      </c>
      <c r="L14" s="2"/>
      <c r="M14" s="2"/>
      <c r="N14" s="2"/>
      <c r="O14" s="2"/>
    </row>
    <row r="15" spans="11:15" x14ac:dyDescent="0.3">
      <c r="K15" s="2"/>
      <c r="L15" s="2"/>
      <c r="M15" s="2"/>
      <c r="N15" s="2"/>
      <c r="O15" s="2"/>
    </row>
    <row r="16" spans="11:15" x14ac:dyDescent="0.3">
      <c r="K16" s="2"/>
      <c r="L16" s="2"/>
      <c r="M16" s="2"/>
      <c r="N16" s="2"/>
      <c r="O16" s="2"/>
    </row>
    <row r="17" spans="2:15" x14ac:dyDescent="0.3">
      <c r="K17" s="2"/>
      <c r="L17" s="2"/>
      <c r="M17" s="2"/>
      <c r="N17" s="2"/>
      <c r="O17" s="2"/>
    </row>
    <row r="18" spans="2:15" x14ac:dyDescent="0.3">
      <c r="K18" s="2"/>
      <c r="L18" s="2"/>
      <c r="M18" s="2"/>
      <c r="N18" s="2"/>
      <c r="O18" s="2"/>
    </row>
    <row r="19" spans="2:15" x14ac:dyDescent="0.3">
      <c r="K19" s="2"/>
      <c r="L19" s="2"/>
      <c r="M19" s="2"/>
      <c r="N19" s="2"/>
      <c r="O19" s="2"/>
    </row>
    <row r="20" spans="2:15" x14ac:dyDescent="0.3">
      <c r="K20" s="2"/>
      <c r="L20" s="2"/>
      <c r="M20" s="2"/>
      <c r="N20" s="2"/>
      <c r="O20" s="2"/>
    </row>
    <row r="21" spans="2:15" x14ac:dyDescent="0.3">
      <c r="K21" s="2"/>
      <c r="L21" s="2"/>
      <c r="M21" s="2"/>
      <c r="N21" s="2"/>
      <c r="O21" s="2"/>
    </row>
    <row r="22" spans="2:15" x14ac:dyDescent="0.3">
      <c r="K22" s="2"/>
      <c r="L22" s="2"/>
      <c r="M22" s="2"/>
      <c r="N22" s="2"/>
      <c r="O22" s="2"/>
    </row>
    <row r="23" spans="2:15" x14ac:dyDescent="0.3">
      <c r="K23" s="2"/>
      <c r="L23" s="2"/>
      <c r="M23" s="2"/>
      <c r="N23" s="2"/>
      <c r="O23" s="2"/>
    </row>
    <row r="24" spans="2:15" x14ac:dyDescent="0.3">
      <c r="K24" s="2"/>
      <c r="L24" s="2"/>
      <c r="M24" s="2"/>
      <c r="N24" s="2"/>
      <c r="O24" s="2"/>
    </row>
    <row r="25" spans="2:15" x14ac:dyDescent="0.3">
      <c r="B25" s="1"/>
    </row>
    <row r="26" spans="2:15" x14ac:dyDescent="0.3">
      <c r="B26" s="1"/>
    </row>
    <row r="27" spans="2:15" x14ac:dyDescent="0.3">
      <c r="B27" s="1"/>
    </row>
    <row r="28" spans="2:15" x14ac:dyDescent="0.3">
      <c r="B28" s="1"/>
    </row>
    <row r="29" spans="2:15" x14ac:dyDescent="0.3">
      <c r="B29" s="1"/>
    </row>
    <row r="30" spans="2:15" x14ac:dyDescent="0.3">
      <c r="B30" s="1"/>
    </row>
    <row r="31" spans="2:15" x14ac:dyDescent="0.3">
      <c r="B31" s="1"/>
    </row>
    <row r="32" spans="2:15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6"/>
    </row>
    <row r="38" spans="2:2" x14ac:dyDescent="0.3">
      <c r="B38" s="16"/>
    </row>
    <row r="39" spans="2:2" x14ac:dyDescent="0.3">
      <c r="B39" s="16"/>
    </row>
    <row r="40" spans="2:2" x14ac:dyDescent="0.3">
      <c r="B40" s="16"/>
    </row>
    <row r="41" spans="2:2" x14ac:dyDescent="0.3">
      <c r="B41" s="16"/>
    </row>
    <row r="42" spans="2:2" x14ac:dyDescent="0.3">
      <c r="B42" s="16"/>
    </row>
    <row r="43" spans="2:2" x14ac:dyDescent="0.3">
      <c r="B43" s="16"/>
    </row>
    <row r="44" spans="2:2" x14ac:dyDescent="0.3">
      <c r="B44" s="16"/>
    </row>
    <row r="45" spans="2:2" x14ac:dyDescent="0.3">
      <c r="B45" s="16"/>
    </row>
    <row r="46" spans="2:2" x14ac:dyDescent="0.3">
      <c r="B46" s="16"/>
    </row>
    <row r="47" spans="2:2" x14ac:dyDescent="0.3">
      <c r="B47" s="16"/>
    </row>
    <row r="48" spans="2:2" x14ac:dyDescent="0.3">
      <c r="B48" s="16"/>
    </row>
    <row r="49" spans="2:2" x14ac:dyDescent="0.3">
      <c r="B49" s="16"/>
    </row>
    <row r="50" spans="2:2" x14ac:dyDescent="0.3">
      <c r="B50" s="16"/>
    </row>
    <row r="51" spans="2:2" x14ac:dyDescent="0.3">
      <c r="B51" s="16"/>
    </row>
    <row r="52" spans="2:2" x14ac:dyDescent="0.3">
      <c r="B52" s="16"/>
    </row>
    <row r="53" spans="2:2" x14ac:dyDescent="0.3">
      <c r="B53" s="16"/>
    </row>
    <row r="54" spans="2:2" x14ac:dyDescent="0.3">
      <c r="B54" s="16"/>
    </row>
    <row r="55" spans="2:2" x14ac:dyDescent="0.3">
      <c r="B55" s="16"/>
    </row>
    <row r="56" spans="2:2" x14ac:dyDescent="0.3">
      <c r="B56" s="16"/>
    </row>
    <row r="57" spans="2:2" x14ac:dyDescent="0.3">
      <c r="B57" s="16"/>
    </row>
    <row r="58" spans="2:2" x14ac:dyDescent="0.3">
      <c r="B58" s="16"/>
    </row>
    <row r="59" spans="2:2" x14ac:dyDescent="0.3">
      <c r="B59" s="16"/>
    </row>
  </sheetData>
  <pageMargins left="0.25" right="0.25" top="0.75" bottom="0.75" header="0.3" footer="0.3"/>
  <pageSetup paperSize="9" scale="5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1889A-BE80-4EFC-A650-B6081615B2BE}">
  <dimension ref="B1:G18"/>
  <sheetViews>
    <sheetView topLeftCell="A4" workbookViewId="0">
      <pane xSplit="3" ySplit="3" topLeftCell="D7" activePane="bottomRight" state="frozen"/>
      <selection activeCell="A4" sqref="A4"/>
      <selection pane="topRight" activeCell="D4" sqref="D4"/>
      <selection pane="bottomLeft" activeCell="A7" sqref="A7"/>
      <selection pane="bottomRight" activeCell="D6" sqref="D6:G18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.109375" style="1" customWidth="1"/>
    <col min="4" max="4" width="8.88671875" style="5"/>
    <col min="5" max="5" width="15.21875" style="1" bestFit="1" customWidth="1"/>
    <col min="6" max="6" width="21.5546875" style="4" bestFit="1" customWidth="1"/>
    <col min="7" max="7" width="20.109375" style="1" bestFit="1" customWidth="1"/>
    <col min="8" max="16384" width="8.88671875" style="1"/>
  </cols>
  <sheetData>
    <row r="1" spans="2:7" x14ac:dyDescent="0.3">
      <c r="B1" s="1"/>
    </row>
    <row r="6" spans="2:7" x14ac:dyDescent="0.3">
      <c r="D6" s="5" t="s">
        <v>0</v>
      </c>
      <c r="E6" s="1" t="s">
        <v>1</v>
      </c>
      <c r="F6" s="4" t="s">
        <v>2</v>
      </c>
      <c r="G6" s="1" t="s">
        <v>3</v>
      </c>
    </row>
    <row r="7" spans="2:7" x14ac:dyDescent="0.3">
      <c r="D7" s="5">
        <v>101</v>
      </c>
      <c r="E7" s="1" t="s">
        <v>4</v>
      </c>
      <c r="F7" s="1" t="s">
        <v>5</v>
      </c>
      <c r="G7" s="1" t="s">
        <v>27</v>
      </c>
    </row>
    <row r="8" spans="2:7" x14ac:dyDescent="0.3">
      <c r="D8" s="5">
        <v>102</v>
      </c>
      <c r="E8" s="1" t="s">
        <v>6</v>
      </c>
      <c r="F8" s="1" t="s">
        <v>17</v>
      </c>
      <c r="G8" s="1" t="s">
        <v>28</v>
      </c>
    </row>
    <row r="9" spans="2:7" x14ac:dyDescent="0.3">
      <c r="D9" s="5">
        <v>103</v>
      </c>
      <c r="E9" s="1" t="s">
        <v>7</v>
      </c>
      <c r="F9" s="1" t="s">
        <v>18</v>
      </c>
      <c r="G9" s="1" t="s">
        <v>28</v>
      </c>
    </row>
    <row r="10" spans="2:7" x14ac:dyDescent="0.3">
      <c r="D10" s="5">
        <v>104</v>
      </c>
      <c r="E10" s="1" t="s">
        <v>8</v>
      </c>
      <c r="F10" s="1" t="s">
        <v>19</v>
      </c>
      <c r="G10" s="1" t="s">
        <v>28</v>
      </c>
    </row>
    <row r="11" spans="2:7" x14ac:dyDescent="0.3">
      <c r="D11" s="5">
        <v>105</v>
      </c>
      <c r="E11" s="1" t="s">
        <v>9</v>
      </c>
      <c r="F11" s="1" t="s">
        <v>29</v>
      </c>
      <c r="G11" s="1" t="s">
        <v>28</v>
      </c>
    </row>
    <row r="12" spans="2:7" x14ac:dyDescent="0.3">
      <c r="D12" s="5">
        <v>106</v>
      </c>
      <c r="E12" s="1" t="s">
        <v>10</v>
      </c>
      <c r="F12" s="1" t="s">
        <v>20</v>
      </c>
      <c r="G12" s="1" t="s">
        <v>28</v>
      </c>
    </row>
    <row r="13" spans="2:7" x14ac:dyDescent="0.3">
      <c r="D13" s="5">
        <v>107</v>
      </c>
      <c r="E13" s="1" t="s">
        <v>11</v>
      </c>
      <c r="F13" s="1" t="s">
        <v>21</v>
      </c>
      <c r="G13" s="1" t="s">
        <v>28</v>
      </c>
    </row>
    <row r="14" spans="2:7" x14ac:dyDescent="0.3">
      <c r="D14" s="5">
        <v>108</v>
      </c>
      <c r="E14" s="1" t="s">
        <v>12</v>
      </c>
      <c r="F14" s="1" t="s">
        <v>22</v>
      </c>
      <c r="G14" s="1" t="s">
        <v>28</v>
      </c>
    </row>
    <row r="15" spans="2:7" x14ac:dyDescent="0.3">
      <c r="D15" s="5">
        <v>109</v>
      </c>
      <c r="E15" s="1" t="s">
        <v>13</v>
      </c>
      <c r="F15" s="1" t="s">
        <v>23</v>
      </c>
      <c r="G15" s="1" t="s">
        <v>28</v>
      </c>
    </row>
    <row r="16" spans="2:7" x14ac:dyDescent="0.3">
      <c r="D16" s="5">
        <v>110</v>
      </c>
      <c r="E16" s="1" t="s">
        <v>14</v>
      </c>
      <c r="F16" s="1" t="s">
        <v>24</v>
      </c>
      <c r="G16" s="1" t="s">
        <v>28</v>
      </c>
    </row>
    <row r="17" spans="4:7" x14ac:dyDescent="0.3">
      <c r="D17" s="5">
        <v>111</v>
      </c>
      <c r="E17" s="1" t="s">
        <v>15</v>
      </c>
      <c r="F17" s="1" t="s">
        <v>25</v>
      </c>
      <c r="G17" s="1" t="s">
        <v>28</v>
      </c>
    </row>
    <row r="18" spans="4:7" x14ac:dyDescent="0.3">
      <c r="D18" s="5">
        <v>112</v>
      </c>
      <c r="E18" s="1" t="s">
        <v>16</v>
      </c>
      <c r="F18" s="1" t="s">
        <v>26</v>
      </c>
      <c r="G18" s="1" t="s">
        <v>28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6740C-DAB1-4372-B16C-177C70FBCE1E}">
  <dimension ref="B1:G16"/>
  <sheetViews>
    <sheetView topLeftCell="A2" workbookViewId="0">
      <pane xSplit="3" ySplit="5" topLeftCell="D7" activePane="bottomRight" state="frozen"/>
      <selection activeCell="A2" sqref="A2"/>
      <selection pane="topRight" activeCell="D2" sqref="D2"/>
      <selection pane="bottomLeft" activeCell="A7" sqref="A7"/>
      <selection pane="bottomRight" activeCell="D6" sqref="D6:G16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" style="1" customWidth="1"/>
    <col min="4" max="4" width="11.21875" style="1" customWidth="1"/>
    <col min="5" max="5" width="15" style="1" customWidth="1"/>
    <col min="6" max="6" width="7" style="1" customWidth="1"/>
    <col min="7" max="7" width="12.88671875" style="1" customWidth="1"/>
    <col min="8" max="16384" width="8.88671875" style="1"/>
  </cols>
  <sheetData>
    <row r="1" spans="2:7" x14ac:dyDescent="0.3">
      <c r="B1" s="1"/>
    </row>
    <row r="6" spans="2:7" x14ac:dyDescent="0.3">
      <c r="D6" s="1" t="s">
        <v>30</v>
      </c>
      <c r="E6" s="1" t="s">
        <v>31</v>
      </c>
      <c r="F6" s="1" t="s">
        <v>32</v>
      </c>
      <c r="G6" s="1" t="s">
        <v>33</v>
      </c>
    </row>
    <row r="7" spans="2:7" x14ac:dyDescent="0.3">
      <c r="D7" s="1" t="s">
        <v>34</v>
      </c>
      <c r="E7" s="1" t="s">
        <v>44</v>
      </c>
      <c r="F7" s="1">
        <v>98</v>
      </c>
      <c r="G7" s="1">
        <v>1176</v>
      </c>
    </row>
    <row r="8" spans="2:7" x14ac:dyDescent="0.3">
      <c r="D8" s="1" t="s">
        <v>35</v>
      </c>
      <c r="E8" s="1" t="s">
        <v>45</v>
      </c>
      <c r="F8" s="1">
        <v>34500</v>
      </c>
      <c r="G8" s="1">
        <v>41400</v>
      </c>
    </row>
    <row r="9" spans="2:7" x14ac:dyDescent="0.3">
      <c r="D9" s="1" t="s">
        <v>36</v>
      </c>
      <c r="E9" s="1" t="s">
        <v>46</v>
      </c>
      <c r="F9" s="1">
        <v>4600</v>
      </c>
      <c r="G9" s="1">
        <v>55200</v>
      </c>
    </row>
    <row r="10" spans="2:7" x14ac:dyDescent="0.3">
      <c r="D10" s="1" t="s">
        <v>37</v>
      </c>
      <c r="E10" s="1" t="s">
        <v>47</v>
      </c>
      <c r="F10" s="1">
        <v>21000</v>
      </c>
      <c r="G10" s="1">
        <v>25200</v>
      </c>
    </row>
    <row r="11" spans="2:7" x14ac:dyDescent="0.3">
      <c r="D11" s="1" t="s">
        <v>38</v>
      </c>
      <c r="E11" s="1" t="s">
        <v>48</v>
      </c>
      <c r="F11" s="1">
        <v>200</v>
      </c>
      <c r="G11" s="1">
        <v>200</v>
      </c>
    </row>
    <row r="12" spans="2:7" x14ac:dyDescent="0.3">
      <c r="D12" s="1" t="s">
        <v>39</v>
      </c>
      <c r="E12" s="1" t="s">
        <v>49</v>
      </c>
      <c r="F12" s="1">
        <v>340</v>
      </c>
      <c r="G12" s="1">
        <v>408</v>
      </c>
    </row>
    <row r="13" spans="2:7" x14ac:dyDescent="0.3">
      <c r="D13" s="1" t="s">
        <v>40</v>
      </c>
      <c r="E13" s="1" t="s">
        <v>50</v>
      </c>
      <c r="F13" s="1">
        <v>52000</v>
      </c>
      <c r="G13" s="1">
        <v>62400</v>
      </c>
    </row>
    <row r="14" spans="2:7" x14ac:dyDescent="0.3">
      <c r="D14" s="1" t="s">
        <v>41</v>
      </c>
      <c r="E14" s="1" t="s">
        <v>51</v>
      </c>
      <c r="F14" s="1">
        <v>799</v>
      </c>
      <c r="G14" s="1">
        <v>9588</v>
      </c>
    </row>
    <row r="15" spans="2:7" x14ac:dyDescent="0.3">
      <c r="D15" s="1" t="s">
        <v>42</v>
      </c>
      <c r="E15" s="1" t="s">
        <v>52</v>
      </c>
      <c r="F15" s="1">
        <v>670</v>
      </c>
      <c r="G15" s="1">
        <v>804</v>
      </c>
    </row>
    <row r="16" spans="2:7" x14ac:dyDescent="0.3">
      <c r="D16" s="1" t="s">
        <v>43</v>
      </c>
      <c r="E16" s="1" t="s">
        <v>53</v>
      </c>
      <c r="F16" s="1">
        <v>23500</v>
      </c>
      <c r="G16" s="1">
        <v>28200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09A16-E5C1-45B2-8E96-7198E7979998}">
  <dimension ref="B1:H16"/>
  <sheetViews>
    <sheetView topLeftCell="A2" workbookViewId="0">
      <pane xSplit="3" ySplit="5" topLeftCell="D7" activePane="bottomRight" state="frozen"/>
      <selection activeCell="A2" sqref="A2"/>
      <selection pane="topRight" activeCell="D2" sqref="D2"/>
      <selection pane="bottomLeft" activeCell="A7" sqref="A7"/>
      <selection pane="bottomRight" activeCell="D6" sqref="D6:H16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" style="1" customWidth="1"/>
    <col min="4" max="4" width="11.21875" style="1" customWidth="1"/>
    <col min="5" max="5" width="15.44140625" style="1" customWidth="1"/>
    <col min="6" max="6" width="14.5546875" style="1" customWidth="1"/>
    <col min="7" max="7" width="11" style="1" bestFit="1" customWidth="1"/>
    <col min="8" max="8" width="22.6640625" style="1" bestFit="1" customWidth="1"/>
    <col min="9" max="16384" width="8.88671875" style="1"/>
  </cols>
  <sheetData>
    <row r="1" spans="2:8" x14ac:dyDescent="0.3">
      <c r="B1" s="1"/>
    </row>
    <row r="6" spans="2:8" x14ac:dyDescent="0.3">
      <c r="D6" s="6" t="s">
        <v>30</v>
      </c>
      <c r="E6" s="6" t="s">
        <v>54</v>
      </c>
      <c r="F6" s="6" t="s">
        <v>55</v>
      </c>
      <c r="G6" s="6" t="s">
        <v>56</v>
      </c>
      <c r="H6" s="6" t="s">
        <v>3</v>
      </c>
    </row>
    <row r="7" spans="2:8" x14ac:dyDescent="0.3">
      <c r="D7" s="7" t="s">
        <v>34</v>
      </c>
      <c r="E7" s="7" t="s">
        <v>44</v>
      </c>
      <c r="F7" s="7" t="s">
        <v>57</v>
      </c>
      <c r="G7" s="7" t="s">
        <v>60</v>
      </c>
      <c r="H7" s="7" t="s">
        <v>63</v>
      </c>
    </row>
    <row r="8" spans="2:8" x14ac:dyDescent="0.3">
      <c r="D8" s="7" t="s">
        <v>35</v>
      </c>
      <c r="E8" s="7" t="s">
        <v>45</v>
      </c>
      <c r="F8" s="7" t="s">
        <v>57</v>
      </c>
      <c r="G8" s="7" t="s">
        <v>61</v>
      </c>
      <c r="H8" s="7" t="s">
        <v>64</v>
      </c>
    </row>
    <row r="9" spans="2:8" x14ac:dyDescent="0.3">
      <c r="D9" s="7" t="s">
        <v>36</v>
      </c>
      <c r="E9" s="7" t="s">
        <v>46</v>
      </c>
      <c r="F9" s="7" t="s">
        <v>57</v>
      </c>
      <c r="G9" s="7" t="s">
        <v>62</v>
      </c>
      <c r="H9" s="7" t="s">
        <v>65</v>
      </c>
    </row>
    <row r="10" spans="2:8" x14ac:dyDescent="0.3">
      <c r="D10" s="7" t="s">
        <v>37</v>
      </c>
      <c r="E10" s="7" t="s">
        <v>47</v>
      </c>
      <c r="F10" s="7" t="s">
        <v>58</v>
      </c>
      <c r="G10" s="7" t="s">
        <v>61</v>
      </c>
      <c r="H10" s="7" t="s">
        <v>66</v>
      </c>
    </row>
    <row r="11" spans="2:8" x14ac:dyDescent="0.3">
      <c r="D11" s="7" t="s">
        <v>38</v>
      </c>
      <c r="E11" s="7" t="s">
        <v>48</v>
      </c>
      <c r="F11" s="7" t="s">
        <v>58</v>
      </c>
      <c r="G11" s="7" t="s">
        <v>62</v>
      </c>
      <c r="H11" s="7" t="s">
        <v>67</v>
      </c>
    </row>
    <row r="12" spans="2:8" x14ac:dyDescent="0.3">
      <c r="D12" s="7" t="s">
        <v>39</v>
      </c>
      <c r="E12" s="7" t="s">
        <v>49</v>
      </c>
      <c r="F12" s="7" t="s">
        <v>58</v>
      </c>
      <c r="G12" s="7" t="s">
        <v>61</v>
      </c>
      <c r="H12" s="7" t="s">
        <v>68</v>
      </c>
    </row>
    <row r="13" spans="2:8" x14ac:dyDescent="0.3">
      <c r="D13" s="7" t="s">
        <v>40</v>
      </c>
      <c r="E13" s="7" t="s">
        <v>50</v>
      </c>
      <c r="F13" s="7" t="s">
        <v>59</v>
      </c>
      <c r="G13" s="7" t="s">
        <v>62</v>
      </c>
      <c r="H13" s="7" t="s">
        <v>69</v>
      </c>
    </row>
    <row r="14" spans="2:8" x14ac:dyDescent="0.3">
      <c r="D14" s="7" t="s">
        <v>41</v>
      </c>
      <c r="E14" s="7" t="s">
        <v>51</v>
      </c>
      <c r="F14" s="7" t="s">
        <v>59</v>
      </c>
      <c r="G14" s="7" t="s">
        <v>61</v>
      </c>
      <c r="H14" s="7" t="s">
        <v>69</v>
      </c>
    </row>
    <row r="15" spans="2:8" x14ac:dyDescent="0.3">
      <c r="D15" s="7" t="s">
        <v>42</v>
      </c>
      <c r="E15" s="7" t="s">
        <v>52</v>
      </c>
      <c r="F15" s="7" t="s">
        <v>59</v>
      </c>
      <c r="G15" s="7" t="s">
        <v>62</v>
      </c>
      <c r="H15" s="7" t="s">
        <v>69</v>
      </c>
    </row>
    <row r="16" spans="2:8" x14ac:dyDescent="0.3">
      <c r="D16" s="7" t="s">
        <v>43</v>
      </c>
      <c r="E16" s="7" t="s">
        <v>53</v>
      </c>
      <c r="F16" s="7" t="s">
        <v>59</v>
      </c>
      <c r="G16" s="7" t="s">
        <v>61</v>
      </c>
      <c r="H16" s="7" t="s">
        <v>69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2D8B2-7811-49E8-A29E-0E21E11DFB78}">
  <dimension ref="B1:E11"/>
  <sheetViews>
    <sheetView workbookViewId="0">
      <pane xSplit="4" ySplit="11" topLeftCell="E12" activePane="bottomRight" state="frozen"/>
      <selection pane="topRight" activeCell="E1" sqref="E1"/>
      <selection pane="bottomLeft" activeCell="A12" sqref="A12"/>
      <selection pane="bottomRight" activeCell="E12" sqref="E12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" style="1" customWidth="1"/>
    <col min="4" max="4" width="8.88671875" style="1"/>
    <col min="5" max="5" width="13.109375" style="1" bestFit="1" customWidth="1"/>
    <col min="6" max="16384" width="8.88671875" style="1"/>
  </cols>
  <sheetData>
    <row r="1" spans="5:5" s="1" customFormat="1" x14ac:dyDescent="0.3"/>
    <row r="9" spans="5:5" x14ac:dyDescent="0.3">
      <c r="E9" s="3" t="s">
        <v>70</v>
      </c>
    </row>
    <row r="11" spans="5:5" x14ac:dyDescent="0.3">
      <c r="E11" s="3" t="s">
        <v>71</v>
      </c>
    </row>
  </sheetData>
  <hyperlinks>
    <hyperlink ref="E9" location="Purchase!A1" display="Purchase Entry" xr:uid="{201C976F-EB4D-4566-B941-AD916A4FC05F}"/>
    <hyperlink ref="E11" location="Sales!A1" display="Sales Entry" xr:uid="{934F1693-7628-4F1E-8D50-8E247915F19C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A7F1-187E-4705-A9D1-406332C753D2}">
  <dimension ref="B1:J24"/>
  <sheetViews>
    <sheetView topLeftCell="A5" workbookViewId="0">
      <pane xSplit="3" ySplit="2" topLeftCell="D11" activePane="bottomRight" state="frozen"/>
      <selection activeCell="A5" sqref="A5"/>
      <selection pane="topRight" activeCell="D5" sqref="D5"/>
      <selection pane="bottomLeft" activeCell="A7" sqref="A7"/>
      <selection pane="bottomRight" activeCell="H22" sqref="H22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" style="1" customWidth="1"/>
    <col min="4" max="4" width="11.21875" style="1" customWidth="1"/>
    <col min="5" max="5" width="15" style="1" customWidth="1"/>
    <col min="6" max="6" width="11.6640625" style="1" bestFit="1" customWidth="1"/>
    <col min="7" max="7" width="10.33203125" style="1" bestFit="1" customWidth="1"/>
    <col min="8" max="8" width="7.21875" style="1" customWidth="1"/>
    <col min="9" max="9" width="6.5546875" style="1" customWidth="1"/>
    <col min="10" max="10" width="9.77734375" style="1" customWidth="1"/>
    <col min="11" max="16384" width="8.88671875" style="1"/>
  </cols>
  <sheetData>
    <row r="1" spans="2:10" x14ac:dyDescent="0.3">
      <c r="B1" s="1"/>
    </row>
    <row r="6" spans="2:10" x14ac:dyDescent="0.3">
      <c r="D6" s="1" t="s">
        <v>30</v>
      </c>
      <c r="E6" s="1" t="s">
        <v>31</v>
      </c>
      <c r="F6" s="1" t="s">
        <v>72</v>
      </c>
      <c r="G6" s="1" t="s">
        <v>73</v>
      </c>
      <c r="H6" s="1" t="s">
        <v>74</v>
      </c>
      <c r="I6" s="1" t="s">
        <v>75</v>
      </c>
      <c r="J6" s="1" t="s">
        <v>76</v>
      </c>
    </row>
    <row r="7" spans="2:10" x14ac:dyDescent="0.3">
      <c r="D7" s="1" t="s">
        <v>36</v>
      </c>
      <c r="E7" s="1" t="str">
        <f>IFERROR(VLOOKUP(PurchseData[[#This Row],[HSN Code]],ProductsData[#All],2,0),"")</f>
        <v>Wireless Printer</v>
      </c>
      <c r="F7" s="1" t="str">
        <f>IFERROR(VLOOKUP(PurchseData[[#This Row],[HSN Code]],Vendors!$D$6:$H$16,3,0),"")</f>
        <v>Patel Traders</v>
      </c>
      <c r="G7" s="8">
        <f ca="1">IF(PurchseData[[#This Row],[HSN Code]] = "","",TODAY())</f>
        <v>45878</v>
      </c>
      <c r="H7" s="1">
        <v>2</v>
      </c>
      <c r="I7" s="1">
        <f>IFERROR(VLOOKUP(PurchseData[[#This Row],[HSN Code]],ProductsData[#All],3,0),"")</f>
        <v>4600</v>
      </c>
      <c r="J7" s="1">
        <f>IFERROR(PurchseData[[#This Row],[Units]]*PurchseData[[#This Row],[Cost]],"")</f>
        <v>9200</v>
      </c>
    </row>
    <row r="8" spans="2:10" x14ac:dyDescent="0.3">
      <c r="D8" s="1" t="s">
        <v>35</v>
      </c>
      <c r="E8" s="1" t="str">
        <f>IFERROR(VLOOKUP(PurchseData[[#This Row],[HSN Code]],ProductsData[#All],2,0),"")</f>
        <v>Laptop HP xyz</v>
      </c>
      <c r="F8" s="1" t="str">
        <f>IFERROR(VLOOKUP(PurchseData[[#This Row],[HSN Code]],Vendors!$D$6:$H$16,3,0),"")</f>
        <v>Patel Traders</v>
      </c>
      <c r="G8" s="8">
        <f ca="1">IF(PurchseData[[#This Row],[HSN Code]] = "","",TODAY())</f>
        <v>45878</v>
      </c>
      <c r="H8" s="1">
        <v>2</v>
      </c>
      <c r="I8" s="1">
        <f>IFERROR(VLOOKUP(PurchseData[[#This Row],[HSN Code]],ProductsData[#All],3,0),"")</f>
        <v>34500</v>
      </c>
      <c r="J8" s="1">
        <f>IFERROR(PurchseData[[#This Row],[Units]]*PurchseData[[#This Row],[Cost]],"")</f>
        <v>69000</v>
      </c>
    </row>
    <row r="9" spans="2:10" x14ac:dyDescent="0.3">
      <c r="D9" s="1" t="s">
        <v>35</v>
      </c>
      <c r="E9" s="1" t="str">
        <f>IFERROR(VLOOKUP(PurchseData[[#This Row],[HSN Code]],ProductsData[#All],2,0),"")</f>
        <v>Laptop HP xyz</v>
      </c>
      <c r="F9" s="1" t="str">
        <f>IFERROR(VLOOKUP(PurchseData[[#This Row],[HSN Code]],Vendors!$D$6:$H$16,3,0),"")</f>
        <v>Patel Traders</v>
      </c>
      <c r="G9" s="8">
        <f ca="1">IF(PurchseData[[#This Row],[HSN Code]] = "","",TODAY())</f>
        <v>45878</v>
      </c>
      <c r="H9" s="1">
        <v>1</v>
      </c>
      <c r="I9" s="1">
        <f>IFERROR(VLOOKUP(PurchseData[[#This Row],[HSN Code]],ProductsData[#All],3,0),"")</f>
        <v>34500</v>
      </c>
      <c r="J9" s="1">
        <f>IFERROR(PurchseData[[#This Row],[Units]]*PurchseData[[#This Row],[Cost]],"")</f>
        <v>34500</v>
      </c>
    </row>
    <row r="10" spans="2:10" x14ac:dyDescent="0.3">
      <c r="D10" s="1" t="s">
        <v>35</v>
      </c>
      <c r="E10" s="1" t="str">
        <f>IFERROR(VLOOKUP(PurchseData[[#This Row],[HSN Code]],ProductsData[#All],2,0),"")</f>
        <v>Laptop HP xyz</v>
      </c>
      <c r="F10" s="1" t="str">
        <f>IFERROR(VLOOKUP(PurchseData[[#This Row],[HSN Code]],Vendors!$D$6:$H$16,3,0),"")</f>
        <v>Patel Traders</v>
      </c>
      <c r="G10" s="8">
        <f ca="1">IF(PurchseData[[#This Row],[HSN Code]] = "","",TODAY())</f>
        <v>45878</v>
      </c>
      <c r="H10" s="1">
        <v>3</v>
      </c>
      <c r="I10" s="1">
        <f>IFERROR(VLOOKUP(PurchseData[[#This Row],[HSN Code]],ProductsData[#All],3,0),"")</f>
        <v>34500</v>
      </c>
      <c r="J10" s="1">
        <f>IFERROR(PurchseData[[#This Row],[Units]]*PurchseData[[#This Row],[Cost]],"")</f>
        <v>103500</v>
      </c>
    </row>
    <row r="11" spans="2:10" x14ac:dyDescent="0.3">
      <c r="D11" s="1" t="s">
        <v>39</v>
      </c>
      <c r="E11" s="1" t="str">
        <f>IFERROR(VLOOKUP(PurchseData[[#This Row],[HSN Code]],ProductsData[#All],2,0),"")</f>
        <v>Rgb Keyboard</v>
      </c>
      <c r="F11" s="1" t="str">
        <f>IFERROR(VLOOKUP(PurchseData[[#This Row],[HSN Code]],Vendors!$D$6:$H$16,3,0),"")</f>
        <v>Veer Tech</v>
      </c>
      <c r="G11" s="8">
        <f ca="1">IF(PurchseData[[#This Row],[HSN Code]] = "","",TODAY())</f>
        <v>45878</v>
      </c>
      <c r="H11" s="1">
        <v>5</v>
      </c>
      <c r="I11" s="1">
        <f>IFERROR(VLOOKUP(PurchseData[[#This Row],[HSN Code]],ProductsData[#All],3,0),"")</f>
        <v>340</v>
      </c>
      <c r="J11" s="1">
        <f>IFERROR(PurchseData[[#This Row],[Units]]*PurchseData[[#This Row],[Cost]],"")</f>
        <v>1700</v>
      </c>
    </row>
    <row r="12" spans="2:10" x14ac:dyDescent="0.3">
      <c r="D12" s="1" t="s">
        <v>41</v>
      </c>
      <c r="E12" s="1" t="str">
        <f>IFERROR(VLOOKUP(PurchseData[[#This Row],[HSN Code]],ProductsData[#All],2,0),"")</f>
        <v>Headphones</v>
      </c>
      <c r="F12" s="1" t="str">
        <f>IFERROR(VLOOKUP(PurchseData[[#This Row],[HSN Code]],Vendors!$D$6:$H$16,3,0),"")</f>
        <v>GG Traders</v>
      </c>
      <c r="G12" s="8">
        <f ca="1">IF(PurchseData[[#This Row],[HSN Code]] = "","",TODAY())</f>
        <v>45878</v>
      </c>
      <c r="H12" s="1">
        <v>6</v>
      </c>
      <c r="I12" s="1">
        <f>IFERROR(VLOOKUP(PurchseData[[#This Row],[HSN Code]],ProductsData[#All],3,0),"")</f>
        <v>799</v>
      </c>
      <c r="J12" s="1">
        <f>IFERROR(PurchseData[[#This Row],[Units]]*PurchseData[[#This Row],[Cost]],"")</f>
        <v>4794</v>
      </c>
    </row>
    <row r="13" spans="2:10" x14ac:dyDescent="0.3">
      <c r="D13" s="1" t="s">
        <v>43</v>
      </c>
      <c r="E13" s="1" t="str">
        <f>IFERROR(VLOOKUP(PurchseData[[#This Row],[HSN Code]],ProductsData[#All],2,0),"")</f>
        <v>Tablets</v>
      </c>
      <c r="F13" s="1" t="str">
        <f>IFERROR(VLOOKUP(PurchseData[[#This Row],[HSN Code]],Vendors!$D$6:$H$16,3,0),"")</f>
        <v>GG Traders</v>
      </c>
      <c r="G13" s="8">
        <f ca="1">IF(PurchseData[[#This Row],[HSN Code]] = "","",TODAY())</f>
        <v>45878</v>
      </c>
      <c r="H13" s="1">
        <v>2</v>
      </c>
      <c r="I13" s="1">
        <f>IFERROR(VLOOKUP(PurchseData[[#This Row],[HSN Code]],ProductsData[#All],3,0),"")</f>
        <v>23500</v>
      </c>
      <c r="J13" s="1">
        <f>IFERROR(PurchseData[[#This Row],[Units]]*PurchseData[[#This Row],[Cost]],"")</f>
        <v>47000</v>
      </c>
    </row>
    <row r="14" spans="2:10" x14ac:dyDescent="0.3">
      <c r="D14" s="1" t="s">
        <v>38</v>
      </c>
      <c r="E14" s="9" t="str">
        <f>IFERROR(VLOOKUP(PurchseData[[#This Row],[HSN Code]],ProductsData[#All],2,0),"")</f>
        <v>Mouse</v>
      </c>
      <c r="F14" s="9" t="str">
        <f>IFERROR(VLOOKUP(PurchseData[[#This Row],[HSN Code]],Vendors!$D$6:$H$16,3,0),"")</f>
        <v>Veer Tech</v>
      </c>
      <c r="G14" s="8">
        <f ca="1">IF(PurchseData[[#This Row],[HSN Code]] = "","",TODAY())</f>
        <v>45878</v>
      </c>
      <c r="H14" s="1">
        <v>3</v>
      </c>
      <c r="I14" s="9">
        <f>IFERROR(VLOOKUP(PurchseData[[#This Row],[HSN Code]],ProductsData[#All],3,0),"")</f>
        <v>200</v>
      </c>
      <c r="J14" s="1">
        <f>IFERROR(PurchseData[[#This Row],[Units]]*PurchseData[[#This Row],[Cost]],"")</f>
        <v>600</v>
      </c>
    </row>
    <row r="15" spans="2:10" x14ac:dyDescent="0.3">
      <c r="D15" s="1" t="s">
        <v>34</v>
      </c>
      <c r="E15" s="9" t="str">
        <f>IFERROR(VLOOKUP(PurchseData[[#This Row],[HSN Code]],ProductsData[#All],2,0),"")</f>
        <v>Smart Watch</v>
      </c>
      <c r="F15" s="9" t="str">
        <f>IFERROR(VLOOKUP(PurchseData[[#This Row],[HSN Code]],Vendors!$D$6:$H$16,3,0),"")</f>
        <v>Patel Traders</v>
      </c>
      <c r="G15" s="8">
        <f ca="1">IF(PurchseData[[#This Row],[HSN Code]] = "","",TODAY())</f>
        <v>45878</v>
      </c>
      <c r="H15" s="1">
        <v>2</v>
      </c>
      <c r="I15" s="9">
        <f>IFERROR(VLOOKUP(PurchseData[[#This Row],[HSN Code]],ProductsData[#All],3,0),"")</f>
        <v>98</v>
      </c>
      <c r="J15" s="9">
        <f>IFERROR(PurchseData[[#This Row],[Units]]*PurchseData[[#This Row],[Cost]],"")</f>
        <v>196</v>
      </c>
    </row>
    <row r="16" spans="2:10" x14ac:dyDescent="0.3">
      <c r="D16" s="1" t="s">
        <v>35</v>
      </c>
      <c r="E16" s="9" t="str">
        <f>IFERROR(VLOOKUP(PurchseData[[#This Row],[HSN Code]],ProductsData[#All],2,0),"")</f>
        <v>Laptop HP xyz</v>
      </c>
      <c r="F16" s="9" t="str">
        <f>IFERROR(VLOOKUP(PurchseData[[#This Row],[HSN Code]],Vendors!$D$6:$H$16,3,0),"")</f>
        <v>Patel Traders</v>
      </c>
      <c r="G16" s="8">
        <f ca="1">IF(PurchseData[[#This Row],[HSN Code]] = "","",TODAY())</f>
        <v>45878</v>
      </c>
      <c r="H16" s="1">
        <v>5</v>
      </c>
      <c r="I16" s="9">
        <f>IFERROR(VLOOKUP(PurchseData[[#This Row],[HSN Code]],ProductsData[#All],3,0),"")</f>
        <v>34500</v>
      </c>
      <c r="J16" s="9">
        <f>IFERROR(PurchseData[[#This Row],[Units]]*PurchseData[[#This Row],[Cost]],"")</f>
        <v>172500</v>
      </c>
    </row>
    <row r="17" spans="4:10" x14ac:dyDescent="0.3">
      <c r="D17" s="1" t="s">
        <v>43</v>
      </c>
      <c r="E17" s="9" t="str">
        <f>IFERROR(VLOOKUP(PurchseData[[#This Row],[HSN Code]],ProductsData[#All],2,0),"")</f>
        <v>Tablets</v>
      </c>
      <c r="F17" s="9" t="str">
        <f>IFERROR(VLOOKUP(PurchseData[[#This Row],[HSN Code]],Vendors!$D$6:$H$16,3,0),"")</f>
        <v>GG Traders</v>
      </c>
      <c r="G17" s="8">
        <f ca="1">IF(PurchseData[[#This Row],[HSN Code]] = "","",TODAY())</f>
        <v>45878</v>
      </c>
      <c r="H17" s="1">
        <v>10</v>
      </c>
      <c r="I17" s="9">
        <f>IFERROR(VLOOKUP(PurchseData[[#This Row],[HSN Code]],ProductsData[#All],3,0),"")</f>
        <v>23500</v>
      </c>
      <c r="J17" s="9">
        <f>IFERROR(PurchseData[[#This Row],[Units]]*PurchseData[[#This Row],[Cost]],"")</f>
        <v>235000</v>
      </c>
    </row>
    <row r="18" spans="4:10" x14ac:dyDescent="0.3">
      <c r="D18" s="1" t="s">
        <v>38</v>
      </c>
      <c r="E18" s="9" t="str">
        <f>IFERROR(VLOOKUP(PurchseData[[#This Row],[HSN Code]],ProductsData[#All],2,0),"")</f>
        <v>Mouse</v>
      </c>
      <c r="F18" s="9" t="str">
        <f>IFERROR(VLOOKUP(PurchseData[[#This Row],[HSN Code]],Vendors!$D$6:$H$16,3,0),"")</f>
        <v>Veer Tech</v>
      </c>
      <c r="G18" s="8">
        <f ca="1">IF(PurchseData[[#This Row],[HSN Code]] = "","",TODAY())</f>
        <v>45878</v>
      </c>
      <c r="H18" s="1">
        <v>5</v>
      </c>
      <c r="I18" s="9">
        <f>IFERROR(VLOOKUP(PurchseData[[#This Row],[HSN Code]],ProductsData[#All],3,0),"")</f>
        <v>200</v>
      </c>
      <c r="J18" s="9">
        <f>IFERROR(PurchseData[[#This Row],[Units]]*PurchseData[[#This Row],[Cost]],"")</f>
        <v>1000</v>
      </c>
    </row>
    <row r="19" spans="4:10" x14ac:dyDescent="0.3">
      <c r="D19" s="1" t="s">
        <v>40</v>
      </c>
      <c r="E19" s="9" t="str">
        <f>IFERROR(VLOOKUP(PurchseData[[#This Row],[HSN Code]],ProductsData[#All],2,0),"")</f>
        <v>Camera</v>
      </c>
      <c r="F19" s="9" t="str">
        <f>IFERROR(VLOOKUP(PurchseData[[#This Row],[HSN Code]],Vendors!$D$6:$H$16,3,0),"")</f>
        <v>GG Traders</v>
      </c>
      <c r="G19" s="8">
        <f ca="1">IF(PurchseData[[#This Row],[HSN Code]] = "","",TODAY())</f>
        <v>45878</v>
      </c>
      <c r="H19" s="1">
        <v>30</v>
      </c>
      <c r="I19" s="9">
        <f>IFERROR(VLOOKUP(PurchseData[[#This Row],[HSN Code]],ProductsData[#All],3,0),"")</f>
        <v>52000</v>
      </c>
      <c r="J19" s="9">
        <f>IFERROR(PurchseData[[#This Row],[Units]]*PurchseData[[#This Row],[Cost]],"")</f>
        <v>1560000</v>
      </c>
    </row>
    <row r="20" spans="4:10" x14ac:dyDescent="0.3">
      <c r="D20" s="1" t="s">
        <v>34</v>
      </c>
      <c r="E20" s="9" t="str">
        <f>IFERROR(VLOOKUP(PurchseData[[#This Row],[HSN Code]],ProductsData[#All],2,0),"")</f>
        <v>Smart Watch</v>
      </c>
      <c r="F20" s="9" t="str">
        <f>IFERROR(VLOOKUP(PurchseData[[#This Row],[HSN Code]],Vendors!$D$6:$H$16,3,0),"")</f>
        <v>Patel Traders</v>
      </c>
      <c r="G20" s="8">
        <f ca="1">IF(PurchseData[[#This Row],[HSN Code]] = "","",TODAY())</f>
        <v>45878</v>
      </c>
      <c r="H20" s="1">
        <v>25</v>
      </c>
      <c r="I20" s="9">
        <f>IFERROR(VLOOKUP(PurchseData[[#This Row],[HSN Code]],ProductsData[#All],3,0),"")</f>
        <v>98</v>
      </c>
      <c r="J20" s="9">
        <f>IFERROR(PurchseData[[#This Row],[Units]]*PurchseData[[#This Row],[Cost]],"")</f>
        <v>2450</v>
      </c>
    </row>
    <row r="21" spans="4:10" x14ac:dyDescent="0.3">
      <c r="D21" s="1" t="s">
        <v>41</v>
      </c>
      <c r="E21" s="9" t="str">
        <f>IFERROR(VLOOKUP(PurchseData[[#This Row],[HSN Code]],ProductsData[#All],2,0),"")</f>
        <v>Headphones</v>
      </c>
      <c r="F21" s="9" t="str">
        <f>IFERROR(VLOOKUP(PurchseData[[#This Row],[HSN Code]],Vendors!$D$6:$H$16,3,0),"")</f>
        <v>GG Traders</v>
      </c>
      <c r="G21" s="8">
        <f ca="1">IF(PurchseData[[#This Row],[HSN Code]] = "","",TODAY())</f>
        <v>45878</v>
      </c>
      <c r="H21" s="1">
        <v>23</v>
      </c>
      <c r="I21" s="9">
        <f>IFERROR(VLOOKUP(PurchseData[[#This Row],[HSN Code]],ProductsData[#All],3,0),"")</f>
        <v>799</v>
      </c>
      <c r="J21" s="9">
        <f>IFERROR(PurchseData[[#This Row],[Units]]*PurchseData[[#This Row],[Cost]],"")</f>
        <v>18377</v>
      </c>
    </row>
    <row r="22" spans="4:10" x14ac:dyDescent="0.3">
      <c r="E22" s="9" t="str">
        <f>IFERROR(VLOOKUP(PurchseData[[#This Row],[HSN Code]],ProductsData[#All],2,0),"")</f>
        <v/>
      </c>
      <c r="F22" s="9" t="str">
        <f>IFERROR(VLOOKUP(PurchseData[[#This Row],[HSN Code]],Vendors!$D$6:$H$16,3,0),"")</f>
        <v/>
      </c>
      <c r="G22" s="8" t="str">
        <f ca="1">IF(PurchseData[[#This Row],[HSN Code]] = "","",TODAY())</f>
        <v/>
      </c>
      <c r="I22" s="9" t="str">
        <f>IFERROR(VLOOKUP(PurchseData[[#This Row],[HSN Code]],ProductsData[#All],3,0),"")</f>
        <v/>
      </c>
      <c r="J22" s="9" t="str">
        <f>IFERROR(PurchseData[[#This Row],[Units]]*PurchseData[[#This Row],[Cost]],"")</f>
        <v/>
      </c>
    </row>
    <row r="23" spans="4:10" x14ac:dyDescent="0.3">
      <c r="E23" s="9" t="str">
        <f>IFERROR(VLOOKUP(PurchseData[[#This Row],[HSN Code]],ProductsData[#All],2,0),"")</f>
        <v/>
      </c>
      <c r="F23" s="9" t="str">
        <f>IFERROR(VLOOKUP(PurchseData[[#This Row],[HSN Code]],Vendors!$D$6:$H$16,3,0),"")</f>
        <v/>
      </c>
      <c r="G23" s="8" t="str">
        <f ca="1">IF(PurchseData[[#This Row],[HSN Code]] = "","",TODAY())</f>
        <v/>
      </c>
      <c r="I23" s="9" t="str">
        <f>IFERROR(VLOOKUP(PurchseData[[#This Row],[HSN Code]],ProductsData[#All],3,0),"")</f>
        <v/>
      </c>
      <c r="J23" s="9" t="str">
        <f>IFERROR(PurchseData[[#This Row],[Units]]*PurchseData[[#This Row],[Cost]],"")</f>
        <v/>
      </c>
    </row>
    <row r="24" spans="4:10" x14ac:dyDescent="0.3">
      <c r="E24" s="9" t="str">
        <f>IFERROR(VLOOKUP(PurchseData[[#This Row],[HSN Code]],ProductsData[#All],2,0),"")</f>
        <v/>
      </c>
      <c r="F24" s="9" t="str">
        <f>IFERROR(VLOOKUP(PurchseData[[#This Row],[HSN Code]],Vendors!$D$6:$H$16,3,0),"")</f>
        <v/>
      </c>
      <c r="G24" s="8" t="str">
        <f ca="1">IF(PurchseData[[#This Row],[HSN Code]] = "","",TODAY())</f>
        <v/>
      </c>
      <c r="I24" s="9" t="str">
        <f>IFERROR(VLOOKUP(PurchseData[[#This Row],[HSN Code]],ProductsData[#All],3,0),"")</f>
        <v/>
      </c>
      <c r="J24" s="9" t="str">
        <f>IFERROR(PurchseData[[#This Row],[Units]]*PurchseData[[#This Row],[Cost]],"")</f>
        <v/>
      </c>
    </row>
  </sheetData>
  <phoneticPr fontId="2" type="noConversion"/>
  <dataValidations count="1">
    <dataValidation type="list" allowBlank="1" showInputMessage="1" showErrorMessage="1" sqref="D7:D24" xr:uid="{1F528493-5E57-4701-BF8F-DE2AE877C1D8}">
      <formula1>nshcode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2317B-DE11-48DA-A56D-F69BB34E1798}">
  <dimension ref="B1:L19"/>
  <sheetViews>
    <sheetView topLeftCell="A5" workbookViewId="0">
      <pane xSplit="3" ySplit="2" topLeftCell="D7" activePane="bottomRight" state="frozen"/>
      <selection activeCell="A5" sqref="A5"/>
      <selection pane="topRight" activeCell="D5" sqref="D5"/>
      <selection pane="bottomLeft" activeCell="A7" sqref="A7"/>
      <selection pane="bottomRight" activeCell="D6" sqref="D6:L19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2.88671875" style="1" customWidth="1"/>
    <col min="4" max="4" width="8.88671875" style="1"/>
    <col min="5" max="5" width="16.44140625" style="1" customWidth="1"/>
    <col min="6" max="6" width="11.21875" style="1" customWidth="1"/>
    <col min="7" max="7" width="15" style="1" customWidth="1"/>
    <col min="8" max="8" width="10.33203125" style="1" bestFit="1" customWidth="1"/>
    <col min="9" max="9" width="10.33203125" style="9" customWidth="1"/>
    <col min="10" max="10" width="12.88671875" style="1" customWidth="1"/>
    <col min="11" max="11" width="7" style="1" customWidth="1"/>
    <col min="12" max="12" width="9.77734375" style="1" customWidth="1"/>
    <col min="13" max="16384" width="8.88671875" style="1"/>
  </cols>
  <sheetData>
    <row r="1" spans="2:12" x14ac:dyDescent="0.3">
      <c r="B1" s="1"/>
    </row>
    <row r="6" spans="2:12" x14ac:dyDescent="0.3">
      <c r="D6" s="1" t="s">
        <v>0</v>
      </c>
      <c r="E6" s="1" t="s">
        <v>77</v>
      </c>
      <c r="F6" s="1" t="s">
        <v>30</v>
      </c>
      <c r="G6" s="1" t="s">
        <v>31</v>
      </c>
      <c r="H6" s="1" t="s">
        <v>73</v>
      </c>
      <c r="I6" s="9" t="s">
        <v>79</v>
      </c>
      <c r="J6" s="1" t="s">
        <v>80</v>
      </c>
      <c r="K6" s="1" t="s">
        <v>78</v>
      </c>
      <c r="L6" s="1" t="s">
        <v>76</v>
      </c>
    </row>
    <row r="7" spans="2:12" x14ac:dyDescent="0.3">
      <c r="D7" s="1">
        <v>101</v>
      </c>
      <c r="E7" s="1" t="str">
        <f>IFERROR(VLOOKUP(SalesData[[#This Row],[Cus_ID]],CustomersData[#All],2,0),"")</f>
        <v>Anil Patel</v>
      </c>
      <c r="F7" s="1" t="s">
        <v>36</v>
      </c>
      <c r="G7" s="1" t="str">
        <f>IFERROR(VLOOKUP(SalesData[[#This Row],[HSN Code]],ProductsData[#All],2,0),"")</f>
        <v>Wireless Printer</v>
      </c>
      <c r="H7" s="8">
        <f ca="1">IF(SalesData[[#This Row],[Cus_ID]]="","",TODAY())</f>
        <v>45878</v>
      </c>
      <c r="I7" s="9">
        <f>IFERROR(VLOOKUP(SalesData[[#This Row],[HSN Code]],InventoryData[#All],6,0),"")</f>
        <v>1</v>
      </c>
      <c r="J7" s="1">
        <v>1</v>
      </c>
      <c r="K7" s="1">
        <f>IFERROR(VLOOKUP(SalesData[[#This Row],[HSN Code]],ProductsData[#All],4,0),"")</f>
        <v>55200</v>
      </c>
      <c r="L7" s="1">
        <f>IFERROR(SalesData[[#This Row],[Unit]]*SalesData[[#This Row],[Price]],"")</f>
        <v>55200</v>
      </c>
    </row>
    <row r="8" spans="2:12" x14ac:dyDescent="0.3">
      <c r="D8" s="1">
        <v>104</v>
      </c>
      <c r="E8" s="1" t="str">
        <f>IFERROR(VLOOKUP(SalesData[[#This Row],[Cus_ID]],CustomersData[#All],2,0),"")</f>
        <v>Rakesh Patel</v>
      </c>
      <c r="F8" s="1" t="s">
        <v>34</v>
      </c>
      <c r="G8" s="1" t="str">
        <f>IFERROR(VLOOKUP(SalesData[[#This Row],[HSN Code]],ProductsData[#All],2,0),"")</f>
        <v>Smart Watch</v>
      </c>
      <c r="H8" s="8">
        <f ca="1">IF(SalesData[[#This Row],[Cus_ID]]="","",TODAY())</f>
        <v>45878</v>
      </c>
      <c r="I8" s="9">
        <f>IFERROR(VLOOKUP(SalesData[[#This Row],[HSN Code]],InventoryData[#All],6,0),"")</f>
        <v>25</v>
      </c>
      <c r="J8" s="1">
        <v>2</v>
      </c>
      <c r="K8" s="1">
        <f>IFERROR(VLOOKUP(SalesData[[#This Row],[HSN Code]],ProductsData[#All],4,0),"")</f>
        <v>1176</v>
      </c>
      <c r="L8" s="1">
        <f>IFERROR(SalesData[[#This Row],[Unit]]*SalesData[[#This Row],[Price]],"")</f>
        <v>2352</v>
      </c>
    </row>
    <row r="9" spans="2:12" x14ac:dyDescent="0.3">
      <c r="D9" s="1">
        <v>108</v>
      </c>
      <c r="E9" s="1" t="str">
        <f>IFERROR(VLOOKUP(SalesData[[#This Row],[Cus_ID]],CustomersData[#All],2,0),"")</f>
        <v>Satendra Patel</v>
      </c>
      <c r="F9" s="1" t="s">
        <v>41</v>
      </c>
      <c r="G9" s="1" t="str">
        <f>IFERROR(VLOOKUP(SalesData[[#This Row],[HSN Code]],ProductsData[#All],2,0),"")</f>
        <v>Headphones</v>
      </c>
      <c r="H9" s="8">
        <f ca="1">IF(SalesData[[#This Row],[Cus_ID]]="","",TODAY())</f>
        <v>45878</v>
      </c>
      <c r="I9" s="9">
        <f>IFERROR(VLOOKUP(SalesData[[#This Row],[HSN Code]],InventoryData[#All],6,0),"")</f>
        <v>17</v>
      </c>
      <c r="J9" s="1">
        <v>2</v>
      </c>
      <c r="K9" s="1">
        <f>IFERROR(VLOOKUP(SalesData[[#This Row],[HSN Code]],ProductsData[#All],4,0),"")</f>
        <v>9588</v>
      </c>
      <c r="L9" s="1">
        <f>IFERROR(SalesData[[#This Row],[Unit]]*SalesData[[#This Row],[Price]],"")</f>
        <v>19176</v>
      </c>
    </row>
    <row r="10" spans="2:12" x14ac:dyDescent="0.3">
      <c r="D10" s="1">
        <v>103</v>
      </c>
      <c r="E10" s="1" t="str">
        <f>IFERROR(VLOOKUP(SalesData[[#This Row],[Cus_ID]],CustomersData[#All],2,0),"")</f>
        <v>Rahul Patel</v>
      </c>
      <c r="F10" s="1" t="s">
        <v>36</v>
      </c>
      <c r="G10" s="1" t="str">
        <f>IFERROR(VLOOKUP(SalesData[[#This Row],[HSN Code]],ProductsData[#All],2,0),"")</f>
        <v>Wireless Printer</v>
      </c>
      <c r="H10" s="8">
        <f ca="1">IF(SalesData[[#This Row],[Cus_ID]]="","",TODAY())</f>
        <v>45878</v>
      </c>
      <c r="I10" s="9">
        <f>IFERROR(VLOOKUP(SalesData[[#This Row],[HSN Code]],InventoryData[#All],6,0),"")</f>
        <v>1</v>
      </c>
      <c r="J10" s="1">
        <v>1</v>
      </c>
      <c r="K10" s="1">
        <f>IFERROR(VLOOKUP(SalesData[[#This Row],[HSN Code]],ProductsData[#All],4,0),"")</f>
        <v>55200</v>
      </c>
      <c r="L10" s="1">
        <f>IFERROR(SalesData[[#This Row],[Unit]]*SalesData[[#This Row],[Price]],"")</f>
        <v>55200</v>
      </c>
    </row>
    <row r="11" spans="2:12" x14ac:dyDescent="0.3">
      <c r="D11" s="1">
        <v>102</v>
      </c>
      <c r="E11" s="1" t="str">
        <f>IFERROR(VLOOKUP(SalesData[[#This Row],[Cus_ID]],CustomersData[#All],2,0),"")</f>
        <v>Veerbhan Patel</v>
      </c>
      <c r="F11" s="1" t="s">
        <v>37</v>
      </c>
      <c r="G11" s="1" t="str">
        <f>IFERROR(VLOOKUP(SalesData[[#This Row],[HSN Code]],ProductsData[#All],2,0),"")</f>
        <v>Desktop</v>
      </c>
      <c r="H11" s="8">
        <f ca="1">IF(SalesData[[#This Row],[Cus_ID]]="","",TODAY())</f>
        <v>45878</v>
      </c>
      <c r="I11" s="9">
        <f>IFERROR(VLOOKUP(SalesData[[#This Row],[HSN Code]],InventoryData[#All],6,0),"")</f>
        <v>0</v>
      </c>
      <c r="K11" s="1">
        <f>IFERROR(VLOOKUP(SalesData[[#This Row],[HSN Code]],ProductsData[#All],4,0),"")</f>
        <v>25200</v>
      </c>
      <c r="L11" s="1">
        <f>IFERROR(SalesData[[#This Row],[Unit]]*SalesData[[#This Row],[Price]],"")</f>
        <v>0</v>
      </c>
    </row>
    <row r="12" spans="2:12" x14ac:dyDescent="0.3">
      <c r="D12" s="1">
        <v>107</v>
      </c>
      <c r="E12" s="1" t="str">
        <f>IFERROR(VLOOKUP(SalesData[[#This Row],[Cus_ID]],CustomersData[#All],2,0),"")</f>
        <v>Pushpendra Patel</v>
      </c>
      <c r="F12" s="1" t="s">
        <v>39</v>
      </c>
      <c r="G12" s="1" t="str">
        <f>IFERROR(VLOOKUP(SalesData[[#This Row],[HSN Code]],ProductsData[#All],2,0),"")</f>
        <v>Rgb Keyboard</v>
      </c>
      <c r="H12" s="8">
        <f ca="1">IF(SalesData[[#This Row],[Cus_ID]]="","",TODAY())</f>
        <v>45878</v>
      </c>
      <c r="I12" s="9">
        <f>IFERROR(VLOOKUP(SalesData[[#This Row],[HSN Code]],InventoryData[#All],6,0),"")</f>
        <v>0</v>
      </c>
      <c r="J12" s="1">
        <v>5</v>
      </c>
      <c r="K12" s="1">
        <f>IFERROR(VLOOKUP(SalesData[[#This Row],[HSN Code]],ProductsData[#All],4,0),"")</f>
        <v>408</v>
      </c>
      <c r="L12" s="1">
        <f>IFERROR(SalesData[[#This Row],[Unit]]*SalesData[[#This Row],[Price]],"")</f>
        <v>2040</v>
      </c>
    </row>
    <row r="13" spans="2:12" x14ac:dyDescent="0.3">
      <c r="D13" s="1">
        <v>103</v>
      </c>
      <c r="E13" s="1" t="str">
        <f>IFERROR(VLOOKUP(SalesData[[#This Row],[Cus_ID]],CustomersData[#All],2,0),"")</f>
        <v>Rahul Patel</v>
      </c>
      <c r="F13" s="1" t="s">
        <v>43</v>
      </c>
      <c r="G13" s="1" t="str">
        <f>IFERROR(VLOOKUP(SalesData[[#This Row],[HSN Code]],ProductsData[#All],2,0),"")</f>
        <v>Tablets</v>
      </c>
      <c r="H13" s="8">
        <f ca="1">IF(SalesData[[#This Row],[Cus_ID]]="","",TODAY())</f>
        <v>45878</v>
      </c>
      <c r="I13" s="9">
        <f>IFERROR(VLOOKUP(SalesData[[#This Row],[HSN Code]],InventoryData[#All],6,0),"")</f>
        <v>12</v>
      </c>
      <c r="J13" s="1">
        <v>2</v>
      </c>
      <c r="K13" s="1">
        <f>IFERROR(VLOOKUP(SalesData[[#This Row],[HSN Code]],ProductsData[#All],4,0),"")</f>
        <v>28200</v>
      </c>
      <c r="L13" s="1">
        <f>IFERROR(SalesData[[#This Row],[Unit]]*SalesData[[#This Row],[Price]],"")</f>
        <v>56400</v>
      </c>
    </row>
    <row r="14" spans="2:12" x14ac:dyDescent="0.3">
      <c r="D14" s="1">
        <v>107</v>
      </c>
      <c r="E14" s="1" t="str">
        <f>IFERROR(VLOOKUP(SalesData[[#This Row],[Cus_ID]],CustomersData[#All],2,0),"")</f>
        <v>Pushpendra Patel</v>
      </c>
      <c r="F14" s="1" t="s">
        <v>40</v>
      </c>
      <c r="G14" s="1" t="str">
        <f>IFERROR(VLOOKUP(SalesData[[#This Row],[HSN Code]],ProductsData[#All],2,0),"")</f>
        <v>Camera</v>
      </c>
      <c r="H14" s="8">
        <f ca="1">IF(SalesData[[#This Row],[Cus_ID]]="","",TODAY())</f>
        <v>45878</v>
      </c>
      <c r="I14" s="9">
        <f>IFERROR(VLOOKUP(SalesData[[#This Row],[HSN Code]],InventoryData[#All],6,0),"")</f>
        <v>20</v>
      </c>
      <c r="J14" s="1">
        <v>8</v>
      </c>
      <c r="K14" s="1">
        <f>IFERROR(VLOOKUP(SalesData[[#This Row],[HSN Code]],ProductsData[#All],4,0),"")</f>
        <v>62400</v>
      </c>
      <c r="L14" s="1">
        <f>IFERROR(SalesData[[#This Row],[Unit]]*SalesData[[#This Row],[Price]],"")</f>
        <v>499200</v>
      </c>
    </row>
    <row r="15" spans="2:12" x14ac:dyDescent="0.3">
      <c r="D15" s="1">
        <v>103</v>
      </c>
      <c r="E15" s="1" t="str">
        <f>IFERROR(VLOOKUP(SalesData[[#This Row],[Cus_ID]],CustomersData[#All],2,0),"")</f>
        <v>Rahul Patel</v>
      </c>
      <c r="F15" s="1" t="s">
        <v>40</v>
      </c>
      <c r="G15" s="1" t="str">
        <f>IFERROR(VLOOKUP(SalesData[[#This Row],[HSN Code]],ProductsData[#All],2,0),"")</f>
        <v>Camera</v>
      </c>
      <c r="H15" s="8">
        <f ca="1">IF(SalesData[[#This Row],[Cus_ID]]="","",TODAY())</f>
        <v>45878</v>
      </c>
      <c r="I15" s="9">
        <f>IFERROR(VLOOKUP(SalesData[[#This Row],[HSN Code]],InventoryData[#All],6,0),"")</f>
        <v>20</v>
      </c>
      <c r="J15" s="1">
        <v>2</v>
      </c>
      <c r="K15" s="1">
        <f>IFERROR(VLOOKUP(SalesData[[#This Row],[HSN Code]],ProductsData[#All],4,0),"")</f>
        <v>62400</v>
      </c>
      <c r="L15" s="1">
        <f>IFERROR(SalesData[[#This Row],[Unit]]*SalesData[[#This Row],[Price]],"")</f>
        <v>124800</v>
      </c>
    </row>
    <row r="16" spans="2:12" x14ac:dyDescent="0.3">
      <c r="D16" s="1">
        <v>102</v>
      </c>
      <c r="E16" s="1" t="str">
        <f>IFERROR(VLOOKUP(SalesData[[#This Row],[Cus_ID]],CustomersData[#All],2,0),"")</f>
        <v>Veerbhan Patel</v>
      </c>
      <c r="F16" s="1" t="s">
        <v>34</v>
      </c>
      <c r="G16" s="1" t="str">
        <f>IFERROR(VLOOKUP(SalesData[[#This Row],[HSN Code]],ProductsData[#All],2,0),"")</f>
        <v>Smart Watch</v>
      </c>
      <c r="H16" s="8">
        <f ca="1">IF(SalesData[[#This Row],[Cus_ID]]="","",TODAY())</f>
        <v>45878</v>
      </c>
      <c r="I16" s="9">
        <f>IFERROR(VLOOKUP(SalesData[[#This Row],[HSN Code]],InventoryData[#All],6,0),"")</f>
        <v>25</v>
      </c>
      <c r="J16" s="1">
        <v>18</v>
      </c>
      <c r="K16" s="1">
        <f>IFERROR(VLOOKUP(SalesData[[#This Row],[HSN Code]],ProductsData[#All],4,0),"")</f>
        <v>1176</v>
      </c>
      <c r="L16" s="1">
        <f>IFERROR(SalesData[[#This Row],[Unit]]*SalesData[[#This Row],[Price]],"")</f>
        <v>21168</v>
      </c>
    </row>
    <row r="17" spans="4:12" x14ac:dyDescent="0.3">
      <c r="D17" s="1">
        <v>108</v>
      </c>
      <c r="E17" s="1" t="str">
        <f>IFERROR(VLOOKUP(SalesData[[#This Row],[Cus_ID]],CustomersData[#All],2,0),"")</f>
        <v>Satendra Patel</v>
      </c>
      <c r="F17" s="1" t="s">
        <v>41</v>
      </c>
      <c r="G17" s="1" t="str">
        <f>IFERROR(VLOOKUP(SalesData[[#This Row],[HSN Code]],ProductsData[#All],2,0),"")</f>
        <v>Headphones</v>
      </c>
      <c r="H17" s="8">
        <f ca="1">IF(SalesData[[#This Row],[Cus_ID]]="","",TODAY())</f>
        <v>45878</v>
      </c>
      <c r="I17" s="9">
        <f>IFERROR(VLOOKUP(SalesData[[#This Row],[HSN Code]],InventoryData[#All],6,0),"")</f>
        <v>17</v>
      </c>
      <c r="J17" s="1">
        <v>12</v>
      </c>
      <c r="K17" s="1">
        <f>IFERROR(VLOOKUP(SalesData[[#This Row],[HSN Code]],ProductsData[#All],4,0),"")</f>
        <v>9588</v>
      </c>
      <c r="L17" s="1">
        <f>IFERROR(SalesData[[#This Row],[Unit]]*SalesData[[#This Row],[Price]],"")</f>
        <v>115056</v>
      </c>
    </row>
    <row r="18" spans="4:12" x14ac:dyDescent="0.3">
      <c r="E18" s="1" t="str">
        <f>IFERROR(VLOOKUP(SalesData[[#This Row],[Cus_ID]],CustomersData[#All],2,0),"")</f>
        <v/>
      </c>
      <c r="G18" s="1" t="str">
        <f>IFERROR(VLOOKUP(SalesData[[#This Row],[HSN Code]],ProductsData[#All],2,0),"")</f>
        <v/>
      </c>
      <c r="H18" s="8" t="str">
        <f ca="1">IF(SalesData[[#This Row],[Cus_ID]]="","",TODAY())</f>
        <v/>
      </c>
      <c r="I18" s="9" t="str">
        <f>IFERROR(VLOOKUP(SalesData[[#This Row],[HSN Code]],InventoryData[#All],6,0),"")</f>
        <v/>
      </c>
      <c r="K18" s="1" t="str">
        <f>IFERROR(VLOOKUP(SalesData[[#This Row],[HSN Code]],ProductsData[#All],4,0),"")</f>
        <v/>
      </c>
      <c r="L18" s="1" t="str">
        <f>IFERROR(SalesData[[#This Row],[Unit]]*SalesData[[#This Row],[Price]],"")</f>
        <v/>
      </c>
    </row>
    <row r="19" spans="4:12" x14ac:dyDescent="0.3">
      <c r="E19" s="1" t="str">
        <f>IFERROR(VLOOKUP(SalesData[[#This Row],[Cus_ID]],CustomersData[#All],2,0),"")</f>
        <v/>
      </c>
      <c r="G19" s="1" t="str">
        <f>IFERROR(VLOOKUP(SalesData[[#This Row],[HSN Code]],ProductsData[#All],2,0),"")</f>
        <v/>
      </c>
      <c r="H19" s="8" t="str">
        <f ca="1">IF(SalesData[[#This Row],[Cus_ID]]="","",TODAY())</f>
        <v/>
      </c>
      <c r="I19" s="9" t="str">
        <f>IFERROR(VLOOKUP(SalesData[[#This Row],[HSN Code]],InventoryData[#All],6,0),"")</f>
        <v/>
      </c>
      <c r="K19" s="1" t="str">
        <f>IFERROR(VLOOKUP(SalesData[[#This Row],[HSN Code]],ProductsData[#All],4,0),"")</f>
        <v/>
      </c>
      <c r="L19" s="1" t="str">
        <f>IFERROR(SalesData[[#This Row],[Unit]]*SalesData[[#This Row],[Price]],"")</f>
        <v/>
      </c>
    </row>
  </sheetData>
  <dataValidations count="2">
    <dataValidation type="list" allowBlank="1" showInputMessage="1" showErrorMessage="1" sqref="D7:D19" xr:uid="{F0E492D5-DDC1-4AC7-A437-A91433EEF0A7}">
      <formula1>Cus_ID</formula1>
    </dataValidation>
    <dataValidation type="list" allowBlank="1" showInputMessage="1" showErrorMessage="1" sqref="F7:F19" xr:uid="{1747BC31-FA1A-49A6-AD03-8BBFC83EB68E}">
      <formula1>nshcode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B013-53BC-4D18-A04E-520C1B75E451}">
  <dimension ref="B1:K16"/>
  <sheetViews>
    <sheetView topLeftCell="A5" workbookViewId="0">
      <pane xSplit="3" ySplit="2" topLeftCell="D7" activePane="bottomRight" state="frozen"/>
      <selection activeCell="A5" sqref="A5"/>
      <selection pane="topRight" activeCell="D5" sqref="D5"/>
      <selection pane="bottomLeft" activeCell="A7" sqref="A7"/>
      <selection pane="bottomRight" activeCell="K16" sqref="K16"/>
    </sheetView>
  </sheetViews>
  <sheetFormatPr defaultRowHeight="14.4" x14ac:dyDescent="0.3"/>
  <cols>
    <col min="1" max="1" width="3.5546875" style="1" customWidth="1"/>
    <col min="2" max="2" width="22.109375" style="2" customWidth="1"/>
    <col min="3" max="3" width="3.109375" style="1" customWidth="1"/>
    <col min="4" max="4" width="11.21875" style="1" customWidth="1"/>
    <col min="5" max="5" width="15" style="1" customWidth="1"/>
    <col min="6" max="6" width="6.5546875" style="1" customWidth="1"/>
    <col min="7" max="7" width="9.21875" style="1" customWidth="1"/>
    <col min="8" max="8" width="8.6640625" style="1" customWidth="1"/>
    <col min="9" max="9" width="7.88671875" style="1" bestFit="1" customWidth="1"/>
    <col min="10" max="10" width="14.88671875" style="1" customWidth="1"/>
    <col min="11" max="11" width="13.109375" style="1" bestFit="1" customWidth="1"/>
    <col min="12" max="16384" width="8.88671875" style="1"/>
  </cols>
  <sheetData>
    <row r="1" spans="2:11" x14ac:dyDescent="0.3">
      <c r="B1" s="1"/>
    </row>
    <row r="6" spans="2:11" x14ac:dyDescent="0.3">
      <c r="D6" s="1" t="s">
        <v>30</v>
      </c>
      <c r="E6" s="1" t="s">
        <v>31</v>
      </c>
      <c r="F6" s="1" t="s">
        <v>75</v>
      </c>
      <c r="G6" s="1" t="s">
        <v>81</v>
      </c>
      <c r="H6" s="1" t="s">
        <v>82</v>
      </c>
      <c r="I6" s="1" t="s">
        <v>83</v>
      </c>
      <c r="J6" s="1" t="s">
        <v>84</v>
      </c>
      <c r="K6" s="1" t="s">
        <v>98</v>
      </c>
    </row>
    <row r="7" spans="2:11" x14ac:dyDescent="0.3">
      <c r="D7" s="1" t="str">
        <f>IFERROR(ProductsData[[#This Row],[HSN Code]],"")</f>
        <v>N1001</v>
      </c>
      <c r="E7" s="1" t="str">
        <f>IFERROR(ProductsData[[#This Row],[Product Name]],"")</f>
        <v>Smart Watch</v>
      </c>
      <c r="F7" s="1">
        <f>IFERROR(ProductsData[[#This Row],[Cost ]],"")</f>
        <v>98</v>
      </c>
      <c r="G7" s="1">
        <f>SUMIF(PurchseData[Product Name],InventoryData[[#This Row],[Product Name]],PurchseData[Units])</f>
        <v>27</v>
      </c>
      <c r="H7" s="1">
        <f>SUMIF(Sales!G7:G10,InventoryData[[#This Row],[Product Name]],Sales!J7:J10)</f>
        <v>2</v>
      </c>
      <c r="I7" s="1">
        <f>InventoryData[[#This Row],[P Units ]]-InventoryData[[#This Row],[S Units]]</f>
        <v>25</v>
      </c>
      <c r="J7" s="1">
        <f>InventoryData[[#This Row],[Cost]]*InventoryData[[#This Row],[Stock]]</f>
        <v>2450</v>
      </c>
      <c r="K7" s="9" t="str">
        <f>IF(InventoryData[[#This Row],[Stock]]&lt;5,"📞 " &amp; InventoryData[[#This Row],[Product Name]]&amp; " Needs to re-order ! PH " &amp; VLOOKUP(InventoryData[[#This Row],[HSN Code]],VendorsData[#All],4,0),"")</f>
        <v/>
      </c>
    </row>
    <row r="8" spans="2:11" x14ac:dyDescent="0.3">
      <c r="D8" s="1" t="str">
        <f>IFERROR(ProductsData[[#This Row],[HSN Code]],"")</f>
        <v>N1002</v>
      </c>
      <c r="E8" s="1" t="str">
        <f>IFERROR(ProductsData[[#This Row],[Product Name]],"")</f>
        <v>Laptop HP xyz</v>
      </c>
      <c r="F8" s="1">
        <f>IFERROR(ProductsData[[#This Row],[Cost ]],"")</f>
        <v>34500</v>
      </c>
      <c r="G8" s="1">
        <f>SUMIF(PurchseData[Product Name],InventoryData[[#This Row],[Product Name]],PurchseData[Units])</f>
        <v>11</v>
      </c>
      <c r="H8" s="1">
        <f>SUMIF(Sales!G8:G11,InventoryData[[#This Row],[Product Name]],Sales!J8:J11)</f>
        <v>0</v>
      </c>
      <c r="I8" s="1">
        <f>InventoryData[[#This Row],[P Units ]]-InventoryData[[#This Row],[S Units]]</f>
        <v>11</v>
      </c>
      <c r="J8" s="1">
        <f>InventoryData[[#This Row],[Cost]]*InventoryData[[#This Row],[Stock]]</f>
        <v>379500</v>
      </c>
      <c r="K8" s="9" t="str">
        <f>IF(InventoryData[[#This Row],[Stock]]&lt;5,"📞 " &amp; InventoryData[[#This Row],[Product Name]]&amp; " Needs to re-order ! PH " &amp; VLOOKUP(InventoryData[[#This Row],[HSN Code]],VendorsData[#All],4,0),"")</f>
        <v/>
      </c>
    </row>
    <row r="9" spans="2:11" x14ac:dyDescent="0.3">
      <c r="D9" s="1" t="str">
        <f>IFERROR(ProductsData[[#This Row],[HSN Code]],"")</f>
        <v>N1003</v>
      </c>
      <c r="E9" s="1" t="str">
        <f>IFERROR(ProductsData[[#This Row],[Product Name]],"")</f>
        <v>Wireless Printer</v>
      </c>
      <c r="F9" s="1">
        <f>IFERROR(ProductsData[[#This Row],[Cost ]],"")</f>
        <v>4600</v>
      </c>
      <c r="G9" s="1">
        <f>SUMIF(PurchseData[Product Name],InventoryData[[#This Row],[Product Name]],PurchseData[Units])</f>
        <v>2</v>
      </c>
      <c r="H9" s="1">
        <f>SUMIF(Sales!G9:G12,InventoryData[[#This Row],[Product Name]],Sales!J9:J12)</f>
        <v>1</v>
      </c>
      <c r="I9" s="1">
        <f>InventoryData[[#This Row],[P Units ]]-InventoryData[[#This Row],[S Units]]</f>
        <v>1</v>
      </c>
      <c r="J9" s="1">
        <f>InventoryData[[#This Row],[Cost]]*InventoryData[[#This Row],[Stock]]</f>
        <v>4600</v>
      </c>
      <c r="K9" s="9" t="str">
        <f>IF(InventoryData[[#This Row],[Stock]]&lt;5,"📞 " &amp; InventoryData[[#This Row],[Product Name]]&amp; " Needs to re-order ! PH " &amp; VLOOKUP(InventoryData[[#This Row],[HSN Code]],VendorsData[#All],4,0),"")</f>
        <v>📞 Wireless Printer Needs to re-order ! PH 8784XXXXXX</v>
      </c>
    </row>
    <row r="10" spans="2:11" x14ac:dyDescent="0.3">
      <c r="D10" s="1" t="str">
        <f>IFERROR(ProductsData[[#This Row],[HSN Code]],"")</f>
        <v>N1004</v>
      </c>
      <c r="E10" s="1" t="str">
        <f>IFERROR(ProductsData[[#This Row],[Product Name]],"")</f>
        <v>Desktop</v>
      </c>
      <c r="F10" s="1">
        <f>IFERROR(ProductsData[[#This Row],[Cost ]],"")</f>
        <v>21000</v>
      </c>
      <c r="G10" s="1">
        <f>SUMIF(PurchseData[Product Name],InventoryData[[#This Row],[Product Name]],PurchseData[Units])</f>
        <v>0</v>
      </c>
      <c r="H10" s="1">
        <f>SUMIF(Sales!G10:G13,InventoryData[[#This Row],[Product Name]],Sales!J10:J13)</f>
        <v>0</v>
      </c>
      <c r="I10" s="1">
        <f>InventoryData[[#This Row],[P Units ]]-InventoryData[[#This Row],[S Units]]</f>
        <v>0</v>
      </c>
      <c r="J10" s="1">
        <f>InventoryData[[#This Row],[Cost]]*InventoryData[[#This Row],[Stock]]</f>
        <v>0</v>
      </c>
      <c r="K10" s="9" t="str">
        <f>IF(InventoryData[[#This Row],[Stock]]&lt;5,"📞 " &amp; InventoryData[[#This Row],[Product Name]]&amp; " Needs to re-order ! PH " &amp; VLOOKUP(InventoryData[[#This Row],[HSN Code]],VendorsData[#All],4,0),"")</f>
        <v>📞 Desktop Needs to re-order ! PH 8694XXXXXX</v>
      </c>
    </row>
    <row r="11" spans="2:11" x14ac:dyDescent="0.3">
      <c r="D11" s="1" t="str">
        <f>IFERROR(ProductsData[[#This Row],[HSN Code]],"")</f>
        <v>N1005</v>
      </c>
      <c r="E11" s="1" t="str">
        <f>IFERROR(ProductsData[[#This Row],[Product Name]],"")</f>
        <v>Mouse</v>
      </c>
      <c r="F11" s="1">
        <f>IFERROR(ProductsData[[#This Row],[Cost ]],"")</f>
        <v>200</v>
      </c>
      <c r="G11" s="1">
        <f>SUMIF(PurchseData[Product Name],InventoryData[[#This Row],[Product Name]],PurchseData[Units])</f>
        <v>8</v>
      </c>
      <c r="H11" s="1">
        <f>SUMIF(Sales!G11:G14,InventoryData[[#This Row],[Product Name]],Sales!J11:J14)</f>
        <v>0</v>
      </c>
      <c r="I11" s="1">
        <f>InventoryData[[#This Row],[P Units ]]-InventoryData[[#This Row],[S Units]]</f>
        <v>8</v>
      </c>
      <c r="J11" s="1">
        <f>InventoryData[[#This Row],[Cost]]*InventoryData[[#This Row],[Stock]]</f>
        <v>1600</v>
      </c>
      <c r="K11" s="9" t="str">
        <f>IF(InventoryData[[#This Row],[Stock]]&lt;5,"📞 " &amp; InventoryData[[#This Row],[Product Name]]&amp; " Needs to re-order ! PH " &amp; VLOOKUP(InventoryData[[#This Row],[HSN Code]],VendorsData[#All],4,0),"")</f>
        <v/>
      </c>
    </row>
    <row r="12" spans="2:11" x14ac:dyDescent="0.3">
      <c r="D12" s="1" t="str">
        <f>IFERROR(ProductsData[[#This Row],[HSN Code]],"")</f>
        <v>N1006</v>
      </c>
      <c r="E12" s="1" t="str">
        <f>IFERROR(ProductsData[[#This Row],[Product Name]],"")</f>
        <v>Rgb Keyboard</v>
      </c>
      <c r="F12" s="1">
        <f>IFERROR(ProductsData[[#This Row],[Cost ]],"")</f>
        <v>340</v>
      </c>
      <c r="G12" s="1">
        <f>SUMIF(PurchseData[Product Name],InventoryData[[#This Row],[Product Name]],PurchseData[Units])</f>
        <v>5</v>
      </c>
      <c r="H12" s="1">
        <f>SUMIF(Sales!G12:G15,InventoryData[[#This Row],[Product Name]],Sales!J12:J15)</f>
        <v>5</v>
      </c>
      <c r="I12" s="1">
        <f>InventoryData[[#This Row],[P Units ]]-InventoryData[[#This Row],[S Units]]</f>
        <v>0</v>
      </c>
      <c r="J12" s="1">
        <f>InventoryData[[#This Row],[Cost]]*InventoryData[[#This Row],[Stock]]</f>
        <v>0</v>
      </c>
      <c r="K12" s="9" t="str">
        <f>IF(InventoryData[[#This Row],[Stock]]&lt;5,"📞 " &amp; InventoryData[[#This Row],[Product Name]]&amp; " Needs to re-order ! PH " &amp; VLOOKUP(InventoryData[[#This Row],[HSN Code]],VendorsData[#All],4,0),"")</f>
        <v>📞 Rgb Keyboard Needs to re-order ! PH 8694XXXXXX</v>
      </c>
    </row>
    <row r="13" spans="2:11" x14ac:dyDescent="0.3">
      <c r="D13" s="1" t="str">
        <f>IFERROR(ProductsData[[#This Row],[HSN Code]],"")</f>
        <v>N1007</v>
      </c>
      <c r="E13" s="1" t="str">
        <f>IFERROR(ProductsData[[#This Row],[Product Name]],"")</f>
        <v>Camera</v>
      </c>
      <c r="F13" s="1">
        <f>IFERROR(ProductsData[[#This Row],[Cost ]],"")</f>
        <v>52000</v>
      </c>
      <c r="G13" s="1">
        <f>SUMIF(PurchseData[Product Name],InventoryData[[#This Row],[Product Name]],PurchseData[Units])</f>
        <v>30</v>
      </c>
      <c r="H13" s="1">
        <f>SUMIF(Sales!G13:G16,InventoryData[[#This Row],[Product Name]],Sales!J13:J16)</f>
        <v>10</v>
      </c>
      <c r="I13" s="1">
        <f>InventoryData[[#This Row],[P Units ]]-InventoryData[[#This Row],[S Units]]</f>
        <v>20</v>
      </c>
      <c r="J13" s="1">
        <f>InventoryData[[#This Row],[Cost]]*InventoryData[[#This Row],[Stock]]</f>
        <v>1040000</v>
      </c>
      <c r="K13" s="9" t="str">
        <f>IF(InventoryData[[#This Row],[Stock]]&lt;5,"📞 " &amp; InventoryData[[#This Row],[Product Name]]&amp; " Needs to re-order ! PH " &amp; VLOOKUP(InventoryData[[#This Row],[HSN Code]],VendorsData[#All],4,0),"")</f>
        <v/>
      </c>
    </row>
    <row r="14" spans="2:11" x14ac:dyDescent="0.3">
      <c r="D14" s="1" t="str">
        <f>IFERROR(ProductsData[[#This Row],[HSN Code]],"")</f>
        <v>N1008</v>
      </c>
      <c r="E14" s="1" t="str">
        <f>IFERROR(ProductsData[[#This Row],[Product Name]],"")</f>
        <v>Headphones</v>
      </c>
      <c r="F14" s="1">
        <f>IFERROR(ProductsData[[#This Row],[Cost ]],"")</f>
        <v>799</v>
      </c>
      <c r="G14" s="1">
        <f>SUMIF(PurchseData[Product Name],InventoryData[[#This Row],[Product Name]],PurchseData[Units])</f>
        <v>29</v>
      </c>
      <c r="H14" s="1">
        <f>SUMIF(Sales!G14:G17,InventoryData[[#This Row],[Product Name]],Sales!J14:J17)</f>
        <v>12</v>
      </c>
      <c r="I14" s="1">
        <f>InventoryData[[#This Row],[P Units ]]-InventoryData[[#This Row],[S Units]]</f>
        <v>17</v>
      </c>
      <c r="J14" s="1">
        <f>InventoryData[[#This Row],[Cost]]*InventoryData[[#This Row],[Stock]]</f>
        <v>13583</v>
      </c>
      <c r="K14" s="9" t="str">
        <f>IF(InventoryData[[#This Row],[Stock]]&lt;5,"📞 " &amp; InventoryData[[#This Row],[Product Name]]&amp; " Needs to re-order ! PH " &amp; VLOOKUP(InventoryData[[#This Row],[HSN Code]],VendorsData[#All],4,0),"")</f>
        <v/>
      </c>
    </row>
    <row r="15" spans="2:11" x14ac:dyDescent="0.3">
      <c r="D15" s="1" t="str">
        <f>IFERROR(ProductsData[[#This Row],[HSN Code]],"")</f>
        <v>N1009</v>
      </c>
      <c r="E15" s="1" t="str">
        <f>IFERROR(ProductsData[[#This Row],[Product Name]],"")</f>
        <v>Speakers</v>
      </c>
      <c r="F15" s="1">
        <f>IFERROR(ProductsData[[#This Row],[Cost ]],"")</f>
        <v>670</v>
      </c>
      <c r="G15" s="1">
        <f>SUMIF(PurchseData[Product Name],InventoryData[[#This Row],[Product Name]],PurchseData[Units])</f>
        <v>0</v>
      </c>
      <c r="H15" s="1">
        <f>SUMIF(Sales!G15:G18,InventoryData[[#This Row],[Product Name]],Sales!J15:J18)</f>
        <v>0</v>
      </c>
      <c r="I15" s="1">
        <f>InventoryData[[#This Row],[P Units ]]-InventoryData[[#This Row],[S Units]]</f>
        <v>0</v>
      </c>
      <c r="J15" s="1">
        <f>InventoryData[[#This Row],[Cost]]*InventoryData[[#This Row],[Stock]]</f>
        <v>0</v>
      </c>
      <c r="K15" s="9" t="str">
        <f>IF(InventoryData[[#This Row],[Stock]]&lt;5,"📞 " &amp; InventoryData[[#This Row],[Product Name]]&amp; " Needs to re-order ! PH " &amp; VLOOKUP(InventoryData[[#This Row],[HSN Code]],VendorsData[#All],4,0),"")</f>
        <v>📞 Speakers Needs to re-order ! PH 8784XXXXXX</v>
      </c>
    </row>
    <row r="16" spans="2:11" x14ac:dyDescent="0.3">
      <c r="D16" s="1" t="str">
        <f>IFERROR(ProductsData[[#This Row],[HSN Code]],"")</f>
        <v>N1010</v>
      </c>
      <c r="E16" s="1" t="str">
        <f>IFERROR(ProductsData[[#This Row],[Product Name]],"")</f>
        <v>Tablets</v>
      </c>
      <c r="F16" s="1">
        <f>IFERROR(ProductsData[[#This Row],[Cost ]],"")</f>
        <v>23500</v>
      </c>
      <c r="G16" s="1">
        <f>SUMIF(PurchseData[Product Name],InventoryData[[#This Row],[Product Name]],PurchseData[Units])</f>
        <v>12</v>
      </c>
      <c r="H16" s="1">
        <f>SUMIF(Sales!G16:G19,InventoryData[[#This Row],[Product Name]],Sales!J16:J19)</f>
        <v>0</v>
      </c>
      <c r="I16" s="1">
        <f>InventoryData[[#This Row],[P Units ]]-InventoryData[[#This Row],[S Units]]</f>
        <v>12</v>
      </c>
      <c r="J16" s="1">
        <f>InventoryData[[#This Row],[Cost]]*InventoryData[[#This Row],[Stock]]</f>
        <v>282000</v>
      </c>
      <c r="K16" s="9" t="str">
        <f>IF(InventoryData[[#This Row],[Stock]]&lt;5,"📞 " &amp; InventoryData[[#This Row],[Product Name]]&amp; " Needs to re-order ! PH " &amp; VLOOKUP(InventoryData[[#This Row],[HSN Code]],VendorsData[#All],4,0),"")</f>
        <v/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B3C48-06CE-4032-BC80-81B0D0643162}"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A405E-66FE-4F8E-BE94-AFF0AE9EDBCE}">
  <dimension ref="A2:G38"/>
  <sheetViews>
    <sheetView topLeftCell="A19" workbookViewId="0">
      <selection activeCell="A28" sqref="A28:B37"/>
    </sheetView>
  </sheetViews>
  <sheetFormatPr defaultRowHeight="14.4" x14ac:dyDescent="0.3"/>
  <cols>
    <col min="1" max="1" width="13.88671875" bestFit="1" customWidth="1"/>
    <col min="2" max="3" width="12.109375" bestFit="1" customWidth="1"/>
    <col min="4" max="4" width="15.33203125" bestFit="1" customWidth="1"/>
    <col min="6" max="6" width="15.109375" bestFit="1" customWidth="1"/>
    <col min="7" max="7" width="14.44140625" bestFit="1" customWidth="1"/>
  </cols>
  <sheetData>
    <row r="2" spans="1:4" x14ac:dyDescent="0.3">
      <c r="A2" t="s">
        <v>85</v>
      </c>
      <c r="D2" t="s">
        <v>86</v>
      </c>
    </row>
    <row r="3" spans="1:4" x14ac:dyDescent="0.3">
      <c r="A3" s="10">
        <v>12</v>
      </c>
      <c r="D3">
        <f>GETPIVOTDATA("Cus_ID",$A$2)</f>
        <v>12</v>
      </c>
    </row>
    <row r="6" spans="1:4" x14ac:dyDescent="0.3">
      <c r="A6" t="s">
        <v>87</v>
      </c>
      <c r="D6" t="s">
        <v>88</v>
      </c>
    </row>
    <row r="7" spans="1:4" x14ac:dyDescent="0.3">
      <c r="A7" s="10">
        <v>10</v>
      </c>
      <c r="D7">
        <f>GETPIVOTDATA("HSN Code",$A$6)</f>
        <v>10</v>
      </c>
    </row>
    <row r="13" spans="1:4" x14ac:dyDescent="0.3">
      <c r="A13" t="s">
        <v>89</v>
      </c>
      <c r="D13" t="s">
        <v>91</v>
      </c>
    </row>
    <row r="14" spans="1:4" x14ac:dyDescent="0.3">
      <c r="A14" s="10">
        <v>2259817</v>
      </c>
      <c r="D14" s="11">
        <f>GETPIVOTDATA("Amount",$A$13)</f>
        <v>2259817</v>
      </c>
    </row>
    <row r="17" spans="1:7" x14ac:dyDescent="0.3">
      <c r="A17" t="s">
        <v>92</v>
      </c>
      <c r="D17" t="s">
        <v>84</v>
      </c>
      <c r="F17" s="12" t="s">
        <v>94</v>
      </c>
      <c r="G17" t="s">
        <v>96</v>
      </c>
    </row>
    <row r="18" spans="1:7" x14ac:dyDescent="0.3">
      <c r="A18" s="10">
        <v>1723733</v>
      </c>
      <c r="D18" s="11">
        <f>GETPIVOTDATA("Stock Amount",$A$17)</f>
        <v>1723733</v>
      </c>
      <c r="F18" s="13" t="s">
        <v>51</v>
      </c>
      <c r="G18" s="10">
        <v>12</v>
      </c>
    </row>
    <row r="19" spans="1:7" x14ac:dyDescent="0.3">
      <c r="D19" s="11"/>
      <c r="F19" s="13" t="s">
        <v>50</v>
      </c>
      <c r="G19" s="10">
        <v>10</v>
      </c>
    </row>
    <row r="20" spans="1:7" x14ac:dyDescent="0.3">
      <c r="A20" t="s">
        <v>89</v>
      </c>
      <c r="D20" t="s">
        <v>90</v>
      </c>
      <c r="F20" s="13" t="s">
        <v>49</v>
      </c>
      <c r="G20" s="10">
        <v>5</v>
      </c>
    </row>
    <row r="21" spans="1:7" x14ac:dyDescent="0.3">
      <c r="A21" s="10">
        <v>950592</v>
      </c>
      <c r="D21" s="11">
        <f>GETPIVOTDATA("Amount",$A$20)</f>
        <v>950592</v>
      </c>
      <c r="F21" s="13" t="s">
        <v>44</v>
      </c>
      <c r="G21" s="10">
        <v>2</v>
      </c>
    </row>
    <row r="22" spans="1:7" x14ac:dyDescent="0.3">
      <c r="F22" s="13" t="s">
        <v>46</v>
      </c>
      <c r="G22" s="10">
        <v>1</v>
      </c>
    </row>
    <row r="23" spans="1:7" x14ac:dyDescent="0.3">
      <c r="D23" t="s">
        <v>93</v>
      </c>
      <c r="F23" s="13" t="s">
        <v>95</v>
      </c>
      <c r="G23" s="10">
        <v>30</v>
      </c>
    </row>
    <row r="24" spans="1:7" x14ac:dyDescent="0.3">
      <c r="D24" s="11">
        <f>(D18+D21)-D14</f>
        <v>414508</v>
      </c>
    </row>
    <row r="26" spans="1:7" x14ac:dyDescent="0.3">
      <c r="F26" s="12" t="s">
        <v>94</v>
      </c>
      <c r="G26" t="s">
        <v>89</v>
      </c>
    </row>
    <row r="27" spans="1:7" x14ac:dyDescent="0.3">
      <c r="A27" s="12" t="s">
        <v>94</v>
      </c>
      <c r="B27" t="s">
        <v>99</v>
      </c>
      <c r="F27" s="13" t="s">
        <v>11</v>
      </c>
      <c r="G27" s="10">
        <v>501240</v>
      </c>
    </row>
    <row r="28" spans="1:7" x14ac:dyDescent="0.3">
      <c r="A28" s="13" t="s">
        <v>50</v>
      </c>
      <c r="B28" s="10">
        <v>20</v>
      </c>
      <c r="F28" s="13" t="s">
        <v>7</v>
      </c>
      <c r="G28" s="10">
        <v>236400</v>
      </c>
    </row>
    <row r="29" spans="1:7" x14ac:dyDescent="0.3">
      <c r="A29" s="13" t="s">
        <v>47</v>
      </c>
      <c r="B29" s="10">
        <v>0</v>
      </c>
      <c r="F29" s="13" t="s">
        <v>12</v>
      </c>
      <c r="G29" s="10">
        <v>134232</v>
      </c>
    </row>
    <row r="30" spans="1:7" x14ac:dyDescent="0.3">
      <c r="A30" s="13" t="s">
        <v>51</v>
      </c>
      <c r="B30" s="10">
        <v>17</v>
      </c>
      <c r="F30" s="13" t="s">
        <v>4</v>
      </c>
      <c r="G30" s="10">
        <v>55200</v>
      </c>
    </row>
    <row r="31" spans="1:7" x14ac:dyDescent="0.3">
      <c r="A31" s="13" t="s">
        <v>45</v>
      </c>
      <c r="B31" s="10">
        <v>11</v>
      </c>
      <c r="F31" s="13" t="s">
        <v>6</v>
      </c>
      <c r="G31" s="10">
        <v>21168</v>
      </c>
    </row>
    <row r="32" spans="1:7" x14ac:dyDescent="0.3">
      <c r="A32" s="13" t="s">
        <v>48</v>
      </c>
      <c r="B32" s="10">
        <v>8</v>
      </c>
      <c r="F32" s="13" t="s">
        <v>95</v>
      </c>
      <c r="G32" s="10">
        <v>948240</v>
      </c>
    </row>
    <row r="33" spans="1:2" x14ac:dyDescent="0.3">
      <c r="A33" s="13" t="s">
        <v>49</v>
      </c>
      <c r="B33" s="10">
        <v>0</v>
      </c>
    </row>
    <row r="34" spans="1:2" x14ac:dyDescent="0.3">
      <c r="A34" s="13" t="s">
        <v>44</v>
      </c>
      <c r="B34" s="10">
        <v>25</v>
      </c>
    </row>
    <row r="35" spans="1:2" x14ac:dyDescent="0.3">
      <c r="A35" s="13" t="s">
        <v>52</v>
      </c>
      <c r="B35" s="10">
        <v>0</v>
      </c>
    </row>
    <row r="36" spans="1:2" x14ac:dyDescent="0.3">
      <c r="A36" s="13" t="s">
        <v>53</v>
      </c>
      <c r="B36" s="10">
        <v>12</v>
      </c>
    </row>
    <row r="37" spans="1:2" x14ac:dyDescent="0.3">
      <c r="A37" s="13" t="s">
        <v>46</v>
      </c>
      <c r="B37" s="10">
        <v>1</v>
      </c>
    </row>
    <row r="38" spans="1:2" x14ac:dyDescent="0.3">
      <c r="A38" s="13" t="s">
        <v>95</v>
      </c>
      <c r="B38" s="10">
        <v>94</v>
      </c>
    </row>
  </sheetData>
  <pageMargins left="0.7" right="0.7" top="0.75" bottom="0.75" header="0.3" footer="0.3"/>
  <pageSetup orientation="portrait"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Dashboard</vt:lpstr>
      <vt:lpstr>Customers</vt:lpstr>
      <vt:lpstr>Products</vt:lpstr>
      <vt:lpstr>Vendors</vt:lpstr>
      <vt:lpstr>New Entry</vt:lpstr>
      <vt:lpstr>Purchase</vt:lpstr>
      <vt:lpstr>Sales</vt:lpstr>
      <vt:lpstr>Inventory</vt:lpstr>
      <vt:lpstr>Sheet1</vt:lpstr>
      <vt:lpstr>Pivots</vt:lpstr>
      <vt:lpstr>Cus_ID</vt:lpstr>
      <vt:lpstr>nshcode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ankdatascientist@gmail.com</dc:creator>
  <cp:lastModifiedBy>ankdatascientist@gmail.com</cp:lastModifiedBy>
  <cp:lastPrinted>2025-08-09T11:37:02Z</cp:lastPrinted>
  <dcterms:created xsi:type="dcterms:W3CDTF">2025-08-07T18:17:33Z</dcterms:created>
  <dcterms:modified xsi:type="dcterms:W3CDTF">2025-08-09T11:37:13Z</dcterms:modified>
</cp:coreProperties>
</file>